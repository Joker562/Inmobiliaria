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/>
  <xr:revisionPtr revIDLastSave="0" documentId="13_ncr:1_{CBE6AABD-A8BF-4BB9-BE6F-50FE6FA24A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viendas La Paz" sheetId="1" r:id="rId1"/>
    <sheet name="Viviendas en Desarrol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" i="1" l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<sst xmlns="http://schemas.openxmlformats.org/spreadsheetml/2006/main" count="1245" uniqueCount="582">
  <si>
    <t>ID</t>
  </si>
  <si>
    <t>Nombre</t>
  </si>
  <si>
    <t>Precio (MXN)</t>
  </si>
  <si>
    <t>Precio (texto)</t>
  </si>
  <si>
    <t>Moneda / USD equiv.</t>
  </si>
  <si>
    <t>Colonia / Ubicacion</t>
  </si>
  <si>
    <t>Direccion</t>
  </si>
  <si>
    <t>m2</t>
  </si>
  <si>
    <t>Recamaras</t>
  </si>
  <si>
    <t>Banos</t>
  </si>
  <si>
    <t>Estacionamientos</t>
  </si>
  <si>
    <t>Mantenimiento</t>
  </si>
  <si>
    <t>Descripcion</t>
  </si>
  <si>
    <t>Precio/m2 (MXN)</t>
  </si>
  <si>
    <t>Enlace Inmuebles24</t>
  </si>
  <si>
    <t>Residencia de Lujo El Pescadero</t>
  </si>
  <si>
    <t>$31,905,450</t>
  </si>
  <si>
    <t>MXN (USD 1,549,000)</t>
  </si>
  <si>
    <t>El Pescadero, La Paz</t>
  </si>
  <si>
    <t>El Pescadero</t>
  </si>
  <si>
    <t/>
  </si>
  <si>
    <t>Residencia de lujo con alberca privada en El Pescadero, Baja California Sur.</t>
  </si>
  <si>
    <t>Ver listado</t>
  </si>
  <si>
    <t>Casa Centro Zona Central</t>
  </si>
  <si>
    <t>$4,350,000</t>
  </si>
  <si>
    <t>MXN</t>
  </si>
  <si>
    <t>Zona Central, La Paz</t>
  </si>
  <si>
    <t>Degollado 520</t>
  </si>
  <si>
    <t>Casa en venta en el corazon de La Paz, B.C.S. Ideal para vivir o invertir en zona centrica.</t>
  </si>
  <si>
    <t>Casa de Las Rosas</t>
  </si>
  <si>
    <t>$14,008,000</t>
  </si>
  <si>
    <t>MXN (USD 680,000)</t>
  </si>
  <si>
    <t>Benito Juarez, La Paz</t>
  </si>
  <si>
    <t>de las rosas 320</t>
  </si>
  <si>
    <t>Propiedad ubicada en zona La Posada de La Paz, en una de las mejores zonas residenciales.</t>
  </si>
  <si>
    <t>Casa Residencial Marina Sur</t>
  </si>
  <si>
    <t>$6,500,000</t>
  </si>
  <si>
    <t>Residencial Marina Sur, La Paz</t>
  </si>
  <si>
    <t>Residencial Marina Sur</t>
  </si>
  <si>
    <t>Preciosa residencia recien remodelada en Residencial Marina Sur, excelente ubicacion.</t>
  </si>
  <si>
    <t>Modelo San Jorge — San Rafael</t>
  </si>
  <si>
    <t>$3,200,000</t>
  </si>
  <si>
    <t>San Rafael, La Paz</t>
  </si>
  <si>
    <t>Fracc. San Rafael Residencial</t>
  </si>
  <si>
    <t>Hogar de 2 niveles con diseno vanguardista y plusvalia garantizada. Acabados de marmol.</t>
  </si>
  <si>
    <t>Seaside Villas El Centenario</t>
  </si>
  <si>
    <t>$6,536,000</t>
  </si>
  <si>
    <t>El Centenario, La Paz</t>
  </si>
  <si>
    <t>Centenario</t>
  </si>
  <si>
    <t>$3,000/mes</t>
  </si>
  <si>
    <t>Refugio frente al Mar de Cortes en El Centenario. Serenidad y plusvalia asegurada.</t>
  </si>
  <si>
    <t>Residencia Doble Conchalito</t>
  </si>
  <si>
    <t>$13,500,000</t>
  </si>
  <si>
    <t>La Esperanza, La Paz</t>
  </si>
  <si>
    <t>Conchalito</t>
  </si>
  <si>
    <t>Residencia doble cerca del Malecon con 6 recamaras, alberca, gimnasio. Oportunidad unica.</t>
  </si>
  <si>
    <t>Casa Velero — Altavela</t>
  </si>
  <si>
    <t>$3,035,000</t>
  </si>
  <si>
    <t>Altavela Residencial, La Paz</t>
  </si>
  <si>
    <t>Av. La Cima</t>
  </si>
  <si>
    <t>$1,800/mes</t>
  </si>
  <si>
    <t>Modelo Velero, casa disenada para brindar seguridad y modernidad en Altavela Residencial.</t>
  </si>
  <si>
    <t>Casa Puerta Cortez</t>
  </si>
  <si>
    <t>$20,589,400</t>
  </si>
  <si>
    <t>MXN (USD 999,000)</t>
  </si>
  <si>
    <t>Lomas de Palmira, La Paz</t>
  </si>
  <si>
    <t>Lomas de Palmira</t>
  </si>
  <si>
    <t>$5,500/mes</t>
  </si>
  <si>
    <t>Colinas Puerta Cortes. Extraordinaria residencia con acceso a Beach y Golf Club incluidos.</t>
  </si>
  <si>
    <t>Casa Ensenada — Coronado</t>
  </si>
  <si>
    <t>$4,490,000</t>
  </si>
  <si>
    <t>La Paz, B.C.S.</t>
  </si>
  <si>
    <t>Playa Ensenada Grande</t>
  </si>
  <si>
    <t>$1,200/mes</t>
  </si>
  <si>
    <t>Comodidad, privacidad y plusvalia en Fraccionamiento Coronado. Casa moderna y funcional.</t>
  </si>
  <si>
    <t>Casa Real Palmira Vista al Mar</t>
  </si>
  <si>
    <t>$44,908,600</t>
  </si>
  <si>
    <t>MXN (USD 2,180,000)</t>
  </si>
  <si>
    <t>Palmira</t>
  </si>
  <si>
    <t>Extraordinaria residencia con vista al mar en la prestigiosa comunidad de Real Palmira.</t>
  </si>
  <si>
    <t>Casa Frente a las Dunas</t>
  </si>
  <si>
    <t>$5,200,000</t>
  </si>
  <si>
    <t>Alfredo V Bonfil, La Paz</t>
  </si>
  <si>
    <t>A Bonfil</t>
  </si>
  <si>
    <t>Frente a las dunas y el mar del Golfo de California con vistas increibles.</t>
  </si>
  <si>
    <t>Casa Todos Santos B1</t>
  </si>
  <si>
    <t>$8,837,460</t>
  </si>
  <si>
    <t>MXN (USD 429,000)</t>
  </si>
  <si>
    <t>Todos Santos Centro, La Paz</t>
  </si>
  <si>
    <t>Todos Santos</t>
  </si>
  <si>
    <t>$300/mes</t>
  </si>
  <si>
    <t>Casa a 15 min de Todos Santos, ideal para familias e inversion. 16 modelos disponibles.</t>
  </si>
  <si>
    <t>Casa Una Planta — Altavela</t>
  </si>
  <si>
    <t>$2,819,900</t>
  </si>
  <si>
    <t>Concepto pensado para quienes buscan la practicidad de vivir en una casa de una sola planta.</t>
  </si>
  <si>
    <t>Casa Altamira — Miramar</t>
  </si>
  <si>
    <t>$1,519,900</t>
  </si>
  <si>
    <t>Miramar, La Paz</t>
  </si>
  <si>
    <t>Altamira Residencial D55</t>
  </si>
  <si>
    <t>Ideal para familias que buscan su primer hogar. Residencial Altamira en Miramar.</t>
  </si>
  <si>
    <t>Casa San Jorge — San Rafael</t>
  </si>
  <si>
    <t>$3,080,000</t>
  </si>
  <si>
    <t>Av. Bahia Grande</t>
  </si>
  <si>
    <t>Modelo San Jorge en Residencial San Rafael. Entorno residencial seguro y tranquilo.</t>
  </si>
  <si>
    <t>Casa Punta Arena</t>
  </si>
  <si>
    <t>$5,800,000</t>
  </si>
  <si>
    <t>La Paz, La Paz</t>
  </si>
  <si>
    <t>Ensenada Grande</t>
  </si>
  <si>
    <t>$1,700/mes</t>
  </si>
  <si>
    <t>Residencia exclusiva en privada. Confort, privacidad y elegancia.</t>
  </si>
  <si>
    <t>Casa Vista Mar — El Centenario</t>
  </si>
  <si>
    <t>$4,950,000</t>
  </si>
  <si>
    <t>Calle 18 y Lazaro Cardenas</t>
  </si>
  <si>
    <t>Casa con terraza y vista parcial al mar. Zona de alto crecimiento en El Centenario.</t>
  </si>
  <si>
    <t>Casa "La Rosa" — Pueblo Nuevo</t>
  </si>
  <si>
    <t>$4,500,000</t>
  </si>
  <si>
    <t>Pueblo Nuevo, La Paz</t>
  </si>
  <si>
    <t>Valentin Gomez Farias 3310</t>
  </si>
  <si>
    <t>Planta alta: 4 habitaciones. Col. Pueblo Nuevo, La Paz, B.C.S.</t>
  </si>
  <si>
    <t>Casa Privada — San Rafael</t>
  </si>
  <si>
    <t>$3,800,000</t>
  </si>
  <si>
    <t>$1,500/mes</t>
  </si>
  <si>
    <t>Casa moderna y funcional en privada con seguridad. 2 plantas en San Rafael.</t>
  </si>
  <si>
    <t>Casa Una Planta — San Rafael</t>
  </si>
  <si>
    <t>$2,700,000</t>
  </si>
  <si>
    <t>Hermosa casa de una planta. Invierte y vive en un lugar que eleva tu estilo de vida.</t>
  </si>
  <si>
    <t>Casa Bahia Grande — San Rafael</t>
  </si>
  <si>
    <t>$4,050,000</t>
  </si>
  <si>
    <t>Av. Bahia Grande S/N</t>
  </si>
  <si>
    <t>Ubicacion privilegiada, fraccionamiento ideal para un hogar tranquilo y seguro.</t>
  </si>
  <si>
    <t>Casa Encinas — Zona Central</t>
  </si>
  <si>
    <t>$11,500,000</t>
  </si>
  <si>
    <t>Encinas 1030</t>
  </si>
  <si>
    <t>Casa de 1 piso a dos cuadras del Teatro de la Cd. En el centro de La Paz.</t>
  </si>
  <si>
    <t>Residencia Vista al Mar</t>
  </si>
  <si>
    <t>$19,878,100</t>
  </si>
  <si>
    <t>MXN (USD 965,000)</t>
  </si>
  <si>
    <t>Espectacular residencia de lujo con vista al mar en La Paz, Baja California Sur.</t>
  </si>
  <si>
    <t>Casa Inversion — San Rafael</t>
  </si>
  <si>
    <t>$3,130,000</t>
  </si>
  <si>
    <t>Bahia Grande S/N</t>
  </si>
  <si>
    <t>Excelente oportunidad de inversion en San Rafael, La Paz, B.C.S.</t>
  </si>
  <si>
    <t>Casa Santa Rosa — San Rafael</t>
  </si>
  <si>
    <t>$2,616,000</t>
  </si>
  <si>
    <t>Blvd. Santa Rosa</t>
  </si>
  <si>
    <t>Acabados de alta calidad, propiedad de una planta que ofrece comodidad total.</t>
  </si>
  <si>
    <t>Casa Loft — Paseos del Cortes</t>
  </si>
  <si>
    <t>$3,950,000</t>
  </si>
  <si>
    <t>Miguel Venegas 120</t>
  </si>
  <si>
    <t>Casa tipo loft con alberca. Funcionalidad, luz y estilo en un entorno exclusivo.</t>
  </si>
  <si>
    <t>Residencia Guaycura — Todos Santos</t>
  </si>
  <si>
    <t>$40,170,600</t>
  </si>
  <si>
    <t>MXN (USD 1,950,000)</t>
  </si>
  <si>
    <t>Campestre, La Paz</t>
  </si>
  <si>
    <t>Guaycura S/N</t>
  </si>
  <si>
    <t>Residencia espectacular en Todos Santos, desarrollada sobre terreno en cascada.</t>
  </si>
  <si>
    <t>Casa + 2 Deptos — Los Olivos</t>
  </si>
  <si>
    <t>$4,850,000</t>
  </si>
  <si>
    <t>Los Olivos, La Paz</t>
  </si>
  <si>
    <t>Antonio Navarro</t>
  </si>
  <si>
    <t>Casa con 2 departamentos independientes, ideal para vivir, oficinas o renta.</t>
  </si>
  <si>
    <t>Casa Camino Real</t>
  </si>
  <si>
    <t>$2,475,000</t>
  </si>
  <si>
    <t>El Camino Real, La Paz</t>
  </si>
  <si>
    <t>De La Cuera 435</t>
  </si>
  <si>
    <t>Ubicada frente a la Secundaria Tecnica No. 20, con facil acceso a vialidades principales.</t>
  </si>
  <si>
    <t>Casa Palmira</t>
  </si>
  <si>
    <t>$7,700,000</t>
  </si>
  <si>
    <t>Palmira 340</t>
  </si>
  <si>
    <t>Propiedad amplia y funcional en Lomas de Palmira, La Paz, B.C.S.</t>
  </si>
  <si>
    <t>Casa Privada Santa Julia</t>
  </si>
  <si>
    <t>$3,877,000</t>
  </si>
  <si>
    <t>Santa Julia S/N</t>
  </si>
  <si>
    <t>Hermosa casa en Santa Julia, con casa club y amenidades en La Paz.</t>
  </si>
  <si>
    <t>Villa Pedregal — Vista al Mar</t>
  </si>
  <si>
    <t>$15,500,000</t>
  </si>
  <si>
    <t>Pedregal de la Paz, La Paz</t>
  </si>
  <si>
    <t>Camino del Pedregal</t>
  </si>
  <si>
    <t>Villa de lujo con alberca privada y vista al mar en Pedregal La Paz.</t>
  </si>
  <si>
    <t>Mar de Plata Modelo Golfo</t>
  </si>
  <si>
    <t>$8,900,000</t>
  </si>
  <si>
    <t>Calle de acceso</t>
  </si>
  <si>
    <t>Residencia de lujo en privada frente al mar con vistas espectaculares al Mar de Cortes.</t>
  </si>
  <si>
    <t>Casa Privada Santa Julia 2</t>
  </si>
  <si>
    <t>$3,300,000</t>
  </si>
  <si>
    <t>Hermosa casa en Privada Santa Julia con amenidades en La Paz.</t>
  </si>
  <si>
    <t>Casa Tabachines</t>
  </si>
  <si>
    <t>$2,400,000</t>
  </si>
  <si>
    <t>Los Tabachines, La Paz</t>
  </si>
  <si>
    <t>Av. Concepcion S/N</t>
  </si>
  <si>
    <t>Encantadora casa en Los Tabachines con amplio estacionamiento.</t>
  </si>
  <si>
    <t>Casa Playa El Comitan</t>
  </si>
  <si>
    <t>$14,401,420</t>
  </si>
  <si>
    <t>MXN (USD 699,000)</t>
  </si>
  <si>
    <t>Calle Harold Foster</t>
  </si>
  <si>
    <t>Casa de playa con vista al mar en El Comitan. Vivir de vacaciones todos los dias.</t>
  </si>
  <si>
    <t>Casa Chukum — Inversion</t>
  </si>
  <si>
    <t>$30,000,000</t>
  </si>
  <si>
    <t>Paseos del Cortes, La Paz</t>
  </si>
  <si>
    <t>Avenida Aripes #170</t>
  </si>
  <si>
    <t>Oportunidad unica de inversion. Negocio en marcha con solido historial de rentabilidad.</t>
  </si>
  <si>
    <t>Casa Mogote — Tabachines</t>
  </si>
  <si>
    <t>$3,700,000</t>
  </si>
  <si>
    <t>Calle Mogote</t>
  </si>
  <si>
    <t>Nuevo hogar en Los Tabachines con amplio terreno de 404 m2.</t>
  </si>
  <si>
    <t>Casa Valencia — Villas del Encanto</t>
  </si>
  <si>
    <t>$2,200,000</t>
  </si>
  <si>
    <t>Villas del Encanto, La Paz</t>
  </si>
  <si>
    <t>Villas del Encanto</t>
  </si>
  <si>
    <t>Propiedad ideal para quienes valoran la comodidad y la cercania a todo.</t>
  </si>
  <si>
    <t>Casa Hispania — El Zacatal</t>
  </si>
  <si>
    <t>$3,470,000</t>
  </si>
  <si>
    <t>El Zacatal, La Paz</t>
  </si>
  <si>
    <t>Privada Cantabria (Hispania)</t>
  </si>
  <si>
    <t>$870/mes</t>
  </si>
  <si>
    <t>Invierte en La Paz. Haz crecer tu patrimonio en una de las ciudades con mayor crecimiento.</t>
  </si>
  <si>
    <t>Maravia Eco-Luxury Estate</t>
  </si>
  <si>
    <t>$43,238,020</t>
  </si>
  <si>
    <t>MXN (USD 2,099,000)</t>
  </si>
  <si>
    <t>17 de Octubre, La Paz</t>
  </si>
  <si>
    <t>Maravia</t>
  </si>
  <si>
    <t>Impresionante propiedad off-grid de lujo. Exclusiva residencia eco-luxury en La Paz.</t>
  </si>
  <si>
    <t>Casa Nueva — San Rafael</t>
  </si>
  <si>
    <t>Casa nueva lista para estrenar. Ideal para vivir o invertir. Vive con estilo.</t>
  </si>
  <si>
    <t>Casa Ballenas — Fidepaz</t>
  </si>
  <si>
    <t>$11,000,000</t>
  </si>
  <si>
    <t>Sector La Selva Fidepaz, La Paz</t>
  </si>
  <si>
    <t>Ballenas</t>
  </si>
  <si>
    <t>Casa con estilo italiano en la calle principal de Fidepaz. Zona reconocida de La Paz.</t>
  </si>
  <si>
    <t>Propiedad Agua Amarga</t>
  </si>
  <si>
    <t>$3,990,000</t>
  </si>
  <si>
    <t>San Pedro Mexico, La Paz</t>
  </si>
  <si>
    <t>Carretera San Juan de Los Planes</t>
  </si>
  <si>
    <t>Propiedad doble proposito en Agua Amarga. Casa con amplio terreno.</t>
  </si>
  <si>
    <t>Casa Bugambilias</t>
  </si>
  <si>
    <t>$8,790,000</t>
  </si>
  <si>
    <t>Bugambilias, La Paz</t>
  </si>
  <si>
    <t>Circuito de las Bugambilias</t>
  </si>
  <si>
    <t>Residencial Privada Bugambilias. Comodidad y privacidad con alberca.</t>
  </si>
  <si>
    <t>Casa Preventa — El Centenario</t>
  </si>
  <si>
    <t>$2,390,000</t>
  </si>
  <si>
    <t>El Centenario</t>
  </si>
  <si>
    <t>Casa de un nivel en preventa. Zona de gran crecimiento y excelente conectividad.</t>
  </si>
  <si>
    <t>Casa Hacienda Esterito</t>
  </si>
  <si>
    <t>$13,400,000</t>
  </si>
  <si>
    <t>Esterito, La Paz</t>
  </si>
  <si>
    <t>Aquiles Serdan 840</t>
  </si>
  <si>
    <t>Elegancia colonial y potencial de desarrollo. A solo 4 cuadras del malecon.</t>
  </si>
  <si>
    <t>Residencia Lujo — Lomas de Palmira</t>
  </si>
  <si>
    <t>$39,450,999</t>
  </si>
  <si>
    <t>Residencia de lujo llave en mano. Elegancia y confort en su maxima expresion.</t>
  </si>
  <si>
    <t>Casa Lazaro Cardenas</t>
  </si>
  <si>
    <t>$1,500,000</t>
  </si>
  <si>
    <t>Lazaro Cardenas, La Paz</t>
  </si>
  <si>
    <t>Norte</t>
  </si>
  <si>
    <t>Zona accesible y en crecimiento, ideal para quienes buscan comodidad y buen precio.</t>
  </si>
  <si>
    <t>Residencia Pueblo Nuevo</t>
  </si>
  <si>
    <t>$5,590,000</t>
  </si>
  <si>
    <t>Heroes de Independencia 1470</t>
  </si>
  <si>
    <t>Residencia de una sola planta en Pueblo Nuevo. Zona con excelente conectividad.</t>
  </si>
  <si>
    <t>Casa Colima — Pueblo Nuevo</t>
  </si>
  <si>
    <t>Colima 350</t>
  </si>
  <si>
    <t>Col. Pueblo Nuevo, sobre Calle Colima, a solo 3 cuadras de Av. Abasolo.</t>
  </si>
  <si>
    <t>Casa Plaza Soriana — Emiliano Zapata</t>
  </si>
  <si>
    <t>$5,500,000</t>
  </si>
  <si>
    <t>Emiliano Zapata, La Paz</t>
  </si>
  <si>
    <t>Acceso #1820</t>
  </si>
  <si>
    <t>$1,000/mes</t>
  </si>
  <si>
    <t>Excelente ubicacion a una cuadra de Plaza Soriana Forjadores. Amplios espacios.</t>
  </si>
  <si>
    <t>Casa Peninsula Sur — El Progreso</t>
  </si>
  <si>
    <t>El Progreso, La Paz</t>
  </si>
  <si>
    <t>Circuito Isla de Guadalupe 582</t>
  </si>
  <si>
    <t>$400/mes</t>
  </si>
  <si>
    <t>Casa completamente amueblada en Privada Isla Guadalupe, Peninsula Sur.</t>
  </si>
  <si>
    <t>Casa Altavela con Casa Club</t>
  </si>
  <si>
    <t>$3,799,900</t>
  </si>
  <si>
    <t>Hogar con recamara en planta baja. Casa Club con piscina y salon de usos multiples.</t>
  </si>
  <si>
    <t>Casa Arcoiris</t>
  </si>
  <si>
    <t>$1,450,000</t>
  </si>
  <si>
    <t>Arcoiris, La Paz</t>
  </si>
  <si>
    <t>Articulo 115</t>
  </si>
  <si>
    <t>Sobre calle principal con excelente conectividad y accesibilidad.</t>
  </si>
  <si>
    <t>Vivienda nueva en desarrollo — La Paz, B.C.S.</t>
  </si>
  <si>
    <t>Detalle por modelo de casa/unidad: precio, ubicación, superficie, baños, recámaras, cochera y acceso a fotos. Investigación: 11 ago 2026.</t>
  </si>
  <si>
    <t>Categoría</t>
  </si>
  <si>
    <t>Desarrollo</t>
  </si>
  <si>
    <t>Modelo</t>
  </si>
  <si>
    <t>Precio</t>
  </si>
  <si>
    <t>Ubicación</t>
  </si>
  <si>
    <t>m² Terreno</t>
  </si>
  <si>
    <t>m² Construcción</t>
  </si>
  <si>
    <t>Baños</t>
  </si>
  <si>
    <t>Recámaras</t>
  </si>
  <si>
    <t>Cochera</t>
  </si>
  <si>
    <t>Imagen</t>
  </si>
  <si>
    <t>Fuente</t>
  </si>
  <si>
    <t>Grandes desarrollos maestros</t>
  </si>
  <si>
    <t>Costa Baja Resort &amp; Marina — Vista Mar</t>
  </si>
  <si>
    <t>No disponible</t>
  </si>
  <si>
    <t>Desde $400,000 USD (precio de lanzamiento de fase, no por modelo)</t>
  </si>
  <si>
    <t>Km 5.5 Carretera a Pichilingue, La Paz, BCS</t>
  </si>
  <si>
    <t>Ver fotos ↗</t>
  </si>
  <si>
    <t>Real Estate Market</t>
  </si>
  <si>
    <t>Costa Baja Resort &amp; Marina — Las Colinas / Puerta Cortés</t>
  </si>
  <si>
    <t>Residencia (listado #45)</t>
  </si>
  <si>
    <t>$19,380,000 MXN</t>
  </si>
  <si>
    <t>Las Colinas, Puerta Cortés, Km 5.5 Carretera a Pichilingue, La Paz, BCS</t>
  </si>
  <si>
    <t>262 m²</t>
  </si>
  <si>
    <t>3</t>
  </si>
  <si>
    <t>Cabo La Estancia</t>
  </si>
  <si>
    <t>Townhome (71 unidades, sin modelo con nombre publicado)</t>
  </si>
  <si>
    <t>Las Colinas, junto a campo de golf El Cortés (Gary Player Signature), La Paz, BCS</t>
  </si>
  <si>
    <t>Puerta Cortés Real Estate</t>
  </si>
  <si>
    <t>Fraccionamientos y residenciales (casas)</t>
  </si>
  <si>
    <t>San Rafael Residencial</t>
  </si>
  <si>
    <t>Santa Isabel</t>
  </si>
  <si>
    <t>$2,364,000 MXN (preventa; otra fuente cita desde $2,601,005 MXN)</t>
  </si>
  <si>
    <t>Av. Bahía Grande S/N, Col. San Rafael, La Paz, BCS</t>
  </si>
  <si>
    <t>90 m²</t>
  </si>
  <si>
    <t>2</t>
  </si>
  <si>
    <t>1 (aire libre)</t>
  </si>
  <si>
    <t>GEO Properties</t>
  </si>
  <si>
    <t>San Jorge</t>
  </si>
  <si>
    <t>$3,080,000 – $3,209,415 MXN</t>
  </si>
  <si>
    <t>129 m² (7 x 18.5 m)</t>
  </si>
  <si>
    <t>113 – 114.70 m²</t>
  </si>
  <si>
    <t>2.5</t>
  </si>
  <si>
    <t>FH Inmobiliaria (oficial)</t>
  </si>
  <si>
    <t>San Antonio</t>
  </si>
  <si>
    <t>Santa Julia</t>
  </si>
  <si>
    <t>San Juan</t>
  </si>
  <si>
    <t>$3,261,000 MXN (preventa)</t>
  </si>
  <si>
    <t>Privada Santa Julia, Col. San Rafael, La Paz, BCS</t>
  </si>
  <si>
    <t>120.04 m²</t>
  </si>
  <si>
    <t>139.77 m²</t>
  </si>
  <si>
    <t>3 (principal + 2 secundarias)</t>
  </si>
  <si>
    <t>Casas en Venta La Paz</t>
  </si>
  <si>
    <t>San Francisco</t>
  </si>
  <si>
    <t>$2,628,000 MXN (preventa)</t>
  </si>
  <si>
    <t>81.33 m²</t>
  </si>
  <si>
    <t>88.78 m²</t>
  </si>
  <si>
    <t>1 (techada)</t>
  </si>
  <si>
    <t>Santa María</t>
  </si>
  <si>
    <t>$3,550,000 MXN (preventa)</t>
  </si>
  <si>
    <t>129.53 m²</t>
  </si>
  <si>
    <t>127.87 m²</t>
  </si>
  <si>
    <t>Altavela Residencial</t>
  </si>
  <si>
    <t>Velero</t>
  </si>
  <si>
    <t>No disponible por modelo (rango general del desarrollo: $2,819,900 – $4,794,000 MXN)</t>
  </si>
  <si>
    <t>Altavela Residencial, La Paz, BCS</t>
  </si>
  <si>
    <t>169.35 m²</t>
  </si>
  <si>
    <t>103.35 m²</t>
  </si>
  <si>
    <t>Pincali</t>
  </si>
  <si>
    <t>Corbeta</t>
  </si>
  <si>
    <t>156.54 m²</t>
  </si>
  <si>
    <t>140.00 m²</t>
  </si>
  <si>
    <t>3.5</t>
  </si>
  <si>
    <t>DIPAZ Inmobiliaria (oficial)</t>
  </si>
  <si>
    <t>Fragata</t>
  </si>
  <si>
    <t>Marbella Residencial</t>
  </si>
  <si>
    <t>Ámbar</t>
  </si>
  <si>
    <t>No disponible (listado con $172.51 USD/pie², sin precio total confirmado)</t>
  </si>
  <si>
    <t>Calle Acceso, Marbella Residencial, Chametla, La Paz, BCS</t>
  </si>
  <si>
    <t>125.66 m² (103.16 + 22.5 rooftop)</t>
  </si>
  <si>
    <t>Merced</t>
  </si>
  <si>
    <t>$5,060,000 MXN</t>
  </si>
  <si>
    <t>Calle Acceso Merced, Marbella Residencial, Chametla, La Paz, BCS</t>
  </si>
  <si>
    <t>172 m²</t>
  </si>
  <si>
    <t>167.23 m² (143.08 + 24.15 rooftop)</t>
  </si>
  <si>
    <t>4 (2 completos + 2 medios)</t>
  </si>
  <si>
    <t>Los Naranjos Residencial</t>
  </si>
  <si>
    <t>Cáceres (referido como "Cazares" en algunas fuentes)</t>
  </si>
  <si>
    <t>$2,950,000 MXN</t>
  </si>
  <si>
    <t>Col. El Pescador, La Paz, BCS</t>
  </si>
  <si>
    <t>140 m²</t>
  </si>
  <si>
    <t>119 m²</t>
  </si>
  <si>
    <t>Navel</t>
  </si>
  <si>
    <t>106 m²</t>
  </si>
  <si>
    <t>2.5 (1 en recámara principal + 1 general + 1 medio en PB)</t>
  </si>
  <si>
    <t>Portobello Residencial</t>
  </si>
  <si>
    <t>Marina</t>
  </si>
  <si>
    <t>$4,744,608 MXN aprox. (varía por lote)</t>
  </si>
  <si>
    <t>El Centenario, Coto 3, La Paz, BCS</t>
  </si>
  <si>
    <t>335.34 m² (303 – 335 según lote)</t>
  </si>
  <si>
    <t>126.32 m² (126 – 199 según lote)</t>
  </si>
  <si>
    <t>Galeta</t>
  </si>
  <si>
    <t>$3,475,834 – $3,589,175 MXN</t>
  </si>
  <si>
    <t>El Centenario, Coto 3 Lt 24, La Paz, BCS</t>
  </si>
  <si>
    <t>161.59 – 219.75 m²</t>
  </si>
  <si>
    <t>86.79 – 114.20 m²</t>
  </si>
  <si>
    <t>2 (1 principal + 1 Jr.)</t>
  </si>
  <si>
    <t>Enlaces Patrimoniales</t>
  </si>
  <si>
    <t>Porto</t>
  </si>
  <si>
    <t>140 m² (hasta 219.75)</t>
  </si>
  <si>
    <t>93.8 m² (hasta 114.2)</t>
  </si>
  <si>
    <t>2 + estudio (convertible a 3ra recámara)</t>
  </si>
  <si>
    <t>Fraccionamiento Antares</t>
  </si>
  <si>
    <t>Capella</t>
  </si>
  <si>
    <t>$5,990,000 MXN</t>
  </si>
  <si>
    <t>Fraccionamiento Antares Residencial, La Paz, BCS</t>
  </si>
  <si>
    <t>180 m²</t>
  </si>
  <si>
    <t>118 m²</t>
  </si>
  <si>
    <t>2 (+ family room convertible a 3ra)</t>
  </si>
  <si>
    <t>Pisa</t>
  </si>
  <si>
    <t>167 m²</t>
  </si>
  <si>
    <t>166 m²</t>
  </si>
  <si>
    <t>Clasco</t>
  </si>
  <si>
    <t>Modelo no especificado</t>
  </si>
  <si>
    <t>83.76 m²</t>
  </si>
  <si>
    <t>Propiedades.com</t>
  </si>
  <si>
    <t>Altamira Residencial</t>
  </si>
  <si>
    <t>Modelo 2 recámaras</t>
  </si>
  <si>
    <t>$1,599,900 MXN</t>
  </si>
  <si>
    <t>Altamira Residencial, La Paz, BCS (CP 23085)</t>
  </si>
  <si>
    <t>65.57 m²</t>
  </si>
  <si>
    <t>1</t>
  </si>
  <si>
    <t>Modelo 3 recámaras</t>
  </si>
  <si>
    <t>$1,919,900 MXN</t>
  </si>
  <si>
    <t>76.38 m²</t>
  </si>
  <si>
    <t>Modelo compacto</t>
  </si>
  <si>
    <t>$1,580,000 MXN</t>
  </si>
  <si>
    <t>55.64 m²</t>
  </si>
  <si>
    <t>Casa Cielo Azul</t>
  </si>
  <si>
    <t>Modelo único (general)</t>
  </si>
  <si>
    <t>$4,762,000 MXN (paquete A/C y alberca se venden por separado)</t>
  </si>
  <si>
    <t>El Centenario, La Paz, BCS</t>
  </si>
  <si>
    <t>Calle 10</t>
  </si>
  <si>
    <t>$3,850,000 MXN</t>
  </si>
  <si>
    <t>El Centenario, Calle 10, La Paz, BCS</t>
  </si>
  <si>
    <t>524 m²</t>
  </si>
  <si>
    <t>156 m²</t>
  </si>
  <si>
    <t>Cabo Dream Homes</t>
  </si>
  <si>
    <t>Desierto y Mar Residencial</t>
  </si>
  <si>
    <t>Casa Mar</t>
  </si>
  <si>
    <t>Av. Bahía de La Paz, La Paz, BCS</t>
  </si>
  <si>
    <t>No disponible (lotes de 1a etapa entre 140 y 215 m²)</t>
  </si>
  <si>
    <t>130 m²</t>
  </si>
  <si>
    <t>3 (cada recámara con baño propio)</t>
  </si>
  <si>
    <t>Sí</t>
  </si>
  <si>
    <t>Casa Duna</t>
  </si>
  <si>
    <t>Desierto y Mar Residencial, La Paz, BCS</t>
  </si>
  <si>
    <t>183 – 329 m²</t>
  </si>
  <si>
    <t>120 m²</t>
  </si>
  <si>
    <t>Desierto y Mar (oficial)</t>
  </si>
  <si>
    <t>Modelo 2 recámaras, 1 nivel</t>
  </si>
  <si>
    <t>78.94 m²</t>
  </si>
  <si>
    <t>2 (cada recámara con baño propio)</t>
  </si>
  <si>
    <t>Modelo 2 niveles, 107 m²</t>
  </si>
  <si>
    <t>107 m²</t>
  </si>
  <si>
    <t>Villas del Centenario</t>
  </si>
  <si>
    <t>Casa Paz</t>
  </si>
  <si>
    <t>$429,000 USD</t>
  </si>
  <si>
    <t>Villas del Centenario, El Centenario, La Paz, BCS</t>
  </si>
  <si>
    <t>1,408 m²</t>
  </si>
  <si>
    <t>130 m² (+ 61 m² terraza cubierta)</t>
  </si>
  <si>
    <t>Costa</t>
  </si>
  <si>
    <t>Desde $8,900,000 MXN aprox.</t>
  </si>
  <si>
    <t>Villas del Centenario (oficial)</t>
  </si>
  <si>
    <t>Golfo</t>
  </si>
  <si>
    <t>$8,900,000 MXN aprox.</t>
  </si>
  <si>
    <t>3 (2 en planta baja + master en planta alta)</t>
  </si>
  <si>
    <t>Océano</t>
  </si>
  <si>
    <t>$11,900,000 MXN aprox.</t>
  </si>
  <si>
    <t>4 (incluye 2 master suites)</t>
  </si>
  <si>
    <t>Bahía</t>
  </si>
  <si>
    <t>Modelo único</t>
  </si>
  <si>
    <t>$14,000,000 MXN</t>
  </si>
  <si>
    <t>El Esterito, La Paz, BCS (a 4 cuadras del malecón)</t>
  </si>
  <si>
    <t>894.70 m²</t>
  </si>
  <si>
    <t>128 m²</t>
  </si>
  <si>
    <t>Casa preventa, El Sargento</t>
  </si>
  <si>
    <t>Modelo único (2 recámaras)</t>
  </si>
  <si>
    <t>$6,980,000 MXN</t>
  </si>
  <si>
    <t>El Sargento, municipio de La Paz, BCS</t>
  </si>
  <si>
    <t>135 m²</t>
  </si>
  <si>
    <t>2 (techadas)</t>
  </si>
  <si>
    <t>Desarrollos verticales y condominios</t>
  </si>
  <si>
    <t>MarVista</t>
  </si>
  <si>
    <t>Cardón (1 recámara)</t>
  </si>
  <si>
    <t>$3,500,000 MXN</t>
  </si>
  <si>
    <t>Frente a Fidepaz, cerca de Bugambilias, La Paz, BCS</t>
  </si>
  <si>
    <t>No aplica</t>
  </si>
  <si>
    <t>65 m² (59.5 habitables + 5.5 terraza)</t>
  </si>
  <si>
    <t>Amistad Real Estate</t>
  </si>
  <si>
    <t>Malva (2 recámaras)</t>
  </si>
  <si>
    <t>$4,950,000 – $5,150,000 MXN</t>
  </si>
  <si>
    <t>92 m² (86.50 habitables + 5.50 terraza)</t>
  </si>
  <si>
    <t>Inmuebles24</t>
  </si>
  <si>
    <t>Salvia (2 recámaras)</t>
  </si>
  <si>
    <t>118 m² (107.7 habitables + 10.3 terraza)</t>
  </si>
  <si>
    <t>Penthouse</t>
  </si>
  <si>
    <t>$7,280,000 – $8,850,000 MXN</t>
  </si>
  <si>
    <t>Frente a Fidepaz, La Paz, BCS</t>
  </si>
  <si>
    <t>118 – 142 m² (vista al mar)</t>
  </si>
  <si>
    <t>No disponible (proyecto ofrece hasta 3 recámaras)</t>
  </si>
  <si>
    <t>MarVista (oficial)</t>
  </si>
  <si>
    <t>The X Condotel</t>
  </si>
  <si>
    <t>Apartment (2 recámaras)</t>
  </si>
  <si>
    <t>$5,372,000 MXN</t>
  </si>
  <si>
    <t>Centro de La Paz, BCS (a 7 cuadras del malecón)</t>
  </si>
  <si>
    <t>77 m²</t>
  </si>
  <si>
    <t>CL Bienes Raíces</t>
  </si>
  <si>
    <t>Deluxe (3 recámaras)</t>
  </si>
  <si>
    <t>$5,186,133 MXN</t>
  </si>
  <si>
    <t>99 m²</t>
  </si>
  <si>
    <t>Lamudi</t>
  </si>
  <si>
    <t>Lockoff (3 recámaras)</t>
  </si>
  <si>
    <t>$4,830,000 MXN</t>
  </si>
  <si>
    <t>97 m²</t>
  </si>
  <si>
    <t>iad México</t>
  </si>
  <si>
    <t>Sky Home (1 recámara)</t>
  </si>
  <si>
    <t>59 – 88 m² aprox. (5 variantes)</t>
  </si>
  <si>
    <t>The X Condos (oficial)</t>
  </si>
  <si>
    <t>Balaena Costa Apartments</t>
  </si>
  <si>
    <t>AM3 – Unidad 203 (1 recámara)</t>
  </si>
  <si>
    <t>Desde $3,376,594.41 MXN</t>
  </si>
  <si>
    <t>Lomas de Palmira, La Paz, BCS</t>
  </si>
  <si>
    <t>55.79 m² total (53.20 m² interior)</t>
  </si>
  <si>
    <t>AM5 – Unidad 205 (2 recámaras)</t>
  </si>
  <si>
    <t>96.65 m² total (89.7 m² interior)</t>
  </si>
  <si>
    <t>Modelo C – Unidad 503 (2 recámaras)</t>
  </si>
  <si>
    <t>74.36 m² total (67.89 m² interior)</t>
  </si>
  <si>
    <t>Penthouse – Unidad 601</t>
  </si>
  <si>
    <t>US$752,117.34</t>
  </si>
  <si>
    <t>192.32 m² total (184.6 m² interior)</t>
  </si>
  <si>
    <t>MercadoLibre</t>
  </si>
  <si>
    <t>Condominios Marena</t>
  </si>
  <si>
    <t>Tipo 1B / 1C (2 recámaras)</t>
  </si>
  <si>
    <t>$7,790,000 MXN</t>
  </si>
  <si>
    <t>El Manglito, La Paz, BCS (calle Rangel, a 150 m del mar)</t>
  </si>
  <si>
    <t>90.89 m²</t>
  </si>
  <si>
    <t>1 (cubierto)</t>
  </si>
  <si>
    <t>Marena Condos (oficial)</t>
  </si>
  <si>
    <t>Tipo 1D (2 recámaras)</t>
  </si>
  <si>
    <t>$8,210,000 MXN</t>
  </si>
  <si>
    <t>Condo 2B / 3D / 4B / 4A (2 recámaras)</t>
  </si>
  <si>
    <t>$7,250,000 – $8,150,000 MXN (rango entre unidades)</t>
  </si>
  <si>
    <t>El Manglito, La Paz, BCS</t>
  </si>
  <si>
    <t>Miklat</t>
  </si>
  <si>
    <t>Miklat 101</t>
  </si>
  <si>
    <t>$4,493,000 MXN</t>
  </si>
  <si>
    <t>Francisco I. Madero entre Sonora y Sinaloa, Pueblo Nuevo, La Paz, BCS</t>
  </si>
  <si>
    <t>99.62 m²</t>
  </si>
  <si>
    <t>Miklat 103</t>
  </si>
  <si>
    <t>$4,703,000 MXN</t>
  </si>
  <si>
    <t>92.99 m² (incl. rooftop privado de 44 m²)</t>
  </si>
  <si>
    <t>Miklat 201</t>
  </si>
  <si>
    <t>$4,503,500 MXN</t>
  </si>
  <si>
    <t>95.04 m²</t>
  </si>
  <si>
    <t>Miklat 202</t>
  </si>
  <si>
    <t>$4,388,000 MXN</t>
  </si>
  <si>
    <t>87.75 m²</t>
  </si>
  <si>
    <t>Teva</t>
  </si>
  <si>
    <t>Modelo único (boutique, 10 unidades)</t>
  </si>
  <si>
    <t>No disponible (preventa, precios de lanzamiento no publicados)</t>
  </si>
  <si>
    <t>A dos cuadras del Malecón, centro de La Paz, BCS</t>
  </si>
  <si>
    <t>Arena Blanca Torre Residencial</t>
  </si>
  <si>
    <t>Balandra</t>
  </si>
  <si>
    <t>Zona dorada de La Paz, a 3 cuadras del Malecón, BCS</t>
  </si>
  <si>
    <t>99.20 m² (+ 16.80 m² terraza-balcón)</t>
  </si>
  <si>
    <t>Espíritu Santo</t>
  </si>
  <si>
    <t>1 (según amenidades del edificio)</t>
  </si>
  <si>
    <t>Arua Living</t>
  </si>
  <si>
    <t>Mogote</t>
  </si>
  <si>
    <t>$5,140,330 MXN (aprox. $286,000 USD)</t>
  </si>
  <si>
    <t>Zona El Mogote, a 6–7 cuadras del Malecón (Santos Degollado 1710), La Paz, BCS</t>
  </si>
  <si>
    <t>80 m²</t>
  </si>
  <si>
    <t>Pose Knows Cabo</t>
  </si>
  <si>
    <t>Tecolote</t>
  </si>
  <si>
    <t>$6,470,345 MXN (aprox. $360,000 USD)</t>
  </si>
  <si>
    <t>Zona El Mogote, a 6–7 cuadras del Malecón, La Paz, BCS</t>
  </si>
  <si>
    <t>100 m² (incl. cuarto flex y balcón)</t>
  </si>
  <si>
    <t>Arua Living (oficial)</t>
  </si>
  <si>
    <t>$6,506,292 – $6,911,352 MXN (aprox. $362,000 USD)</t>
  </si>
  <si>
    <t>South Baja Realtors</t>
  </si>
  <si>
    <t>Vivienda social gubernamental</t>
  </si>
  <si>
    <t>Vivienda para el Bienestar (CONAVI)</t>
  </si>
  <si>
    <t>Modelo único (60 m², 2 recámaras)</t>
  </si>
  <si>
    <t>Mensualidad fija estimada ≈ $1,800 MXN/mes a 30 años, sin intereses (cifra preliminar, no oficial); costo tope de vivienda hasta $600,000–$630,000 MXN</t>
  </si>
  <si>
    <t>Sectores Calafia 3 y 4 (periferia de La Paz) y terreno donado en Chametla, La Paz, BCS</t>
  </si>
  <si>
    <t>60 m²</t>
  </si>
  <si>
    <t>Tribuna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</si>
</sst>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A6E8E"/>
      <name val="Arial"/>
    </font>
    <font>
      <b/>
      <sz val="16"/>
      <color rgb="FF16262A"/>
      <name val="Arial"/>
    </font>
    <font>
      <i/>
      <sz val="10"/>
      <color rgb="FF4D6167"/>
      <name val="Arial"/>
    </font>
    <font>
      <b/>
      <sz val="10"/>
      <name val="Arial"/>
    </font>
    <font>
      <i/>
      <sz val="10"/>
      <color rgb="FF9AA6A9"/>
      <name val="Arial"/>
    </font>
    <font>
      <u/>
      <sz val="10"/>
      <color rgb="FF0A4C5C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E8E"/>
      </patternFill>
    </fill>
    <fill>
      <patternFill patternType="solid">
        <fgColor rgb="FF0E6E8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5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4C9D6-550D-4F1E-8D72-5CAE1DE8A318}" name="ViviendasLaPaz" displayName="ViviendasLaPaz" ref="A4:L68">
  <autoFilter ref="A4:L68" xr:uid="{9E34C9D6-550D-4F1E-8D72-5CAE1DE8A318}"/>
  <tableColumns count="12">
    <tableColumn id="1" xr3:uid="{4605612A-F80B-40B1-BE13-188FEA0D610E}" name="Categoría"/>
    <tableColumn id="2" xr3:uid="{ABBD1325-05A6-4B75-89C5-613B846C6E84}" name="Desarrollo"/>
    <tableColumn id="3" xr3:uid="{648BA49B-C5EC-48DB-A575-B8D49A00CE6C}" name="Modelo"/>
    <tableColumn id="4" xr3:uid="{19DED184-FE3D-4B8A-81CB-D2FEEF333A77}" name="Precio"/>
    <tableColumn id="5" xr3:uid="{A16F883F-71F3-4614-B9F5-15987F8C1160}" name="Ubicación"/>
    <tableColumn id="6" xr3:uid="{1986695B-EF20-4B34-919A-FCDA50BE5881}" name="m² Terreno"/>
    <tableColumn id="7" xr3:uid="{1E9790C2-BC7A-498D-8365-AFCA4FA24431}" name="m² Construcción"/>
    <tableColumn id="8" xr3:uid="{86F6B7CF-1E02-474E-84DA-8D9D89067F05}" name="Baños"/>
    <tableColumn id="9" xr3:uid="{653452D7-9B3A-40D3-9389-436EDEF19BCC}" name="Recámaras"/>
    <tableColumn id="10" xr3:uid="{C5B08889-8578-4CDC-998F-0960669ACD5B}" name="Cochera"/>
    <tableColumn id="11" xr3:uid="{A156C1F6-7DFE-446F-B54C-F18B8793A930}" name="Imagen"/>
    <tableColumn id="12" xr3:uid="{670C08C3-9F1F-473C-A7C3-EC611223D582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muebles24.com/propiedades/clasificado/veclcain-casa-190-m-sup2--con-2-recamaras-en-venta-en-todos-91105416.html" TargetMode="External"/><Relationship Id="rId18" Type="http://schemas.openxmlformats.org/officeDocument/2006/relationships/hyperlink" Target="https://www.inmuebles24.com/propiedades/clasificado/veclcain-hermosa-casa-en-venta-acabados-de-lujo-lista-para-146809211.html" TargetMode="External"/><Relationship Id="rId26" Type="http://schemas.openxmlformats.org/officeDocument/2006/relationships/hyperlink" Target="https://www.inmuebles24.com/propiedades/clasificado/veclcain-casa-en-venta-en-fraccionamiento-145229898.html" TargetMode="External"/><Relationship Id="rId39" Type="http://schemas.openxmlformats.org/officeDocument/2006/relationships/hyperlink" Target="https://www.inmuebles24.com/propiedades/clasificado/veclcain-casa-mogote-colonia-tabachines-146785770.html" TargetMode="External"/><Relationship Id="rId21" Type="http://schemas.openxmlformats.org/officeDocument/2006/relationships/hyperlink" Target="https://www.inmuebles24.com/propiedades/clasificado/veclcain-casa-en-venta-en-la-paz-bcs-residencial-san-rafael-148191821.html" TargetMode="External"/><Relationship Id="rId34" Type="http://schemas.openxmlformats.org/officeDocument/2006/relationships/hyperlink" Target="https://www.inmuebles24.com/propiedades/clasificado/veclcain-mar-de-plata-modelo-golfo-lote-027-145830044.html" TargetMode="External"/><Relationship Id="rId42" Type="http://schemas.openxmlformats.org/officeDocument/2006/relationships/hyperlink" Target="https://www.inmuebles24.com/propiedades/clasificado/veclcain-maravia-eco-luxury-off-grid-estate-9-149302182.html" TargetMode="External"/><Relationship Id="rId47" Type="http://schemas.openxmlformats.org/officeDocument/2006/relationships/hyperlink" Target="https://www.inmuebles24.com/propiedades/clasificado/veclcain-casa-nueva-de-2-recamaras-1-bano-en-preventa-el-150180900.html" TargetMode="External"/><Relationship Id="rId50" Type="http://schemas.openxmlformats.org/officeDocument/2006/relationships/hyperlink" Target="https://www.inmuebles24.com/propiedades/clasificado/veclcain--casa-en-venta-en-ampliacion-lazaro-cardenas!-149453299.html" TargetMode="External"/><Relationship Id="rId55" Type="http://schemas.openxmlformats.org/officeDocument/2006/relationships/hyperlink" Target="https://www.inmuebles24.com/propiedades/clasificado/veclcain-casa-en-venta-en-fraccionamiento-residencial-con-66520880.html" TargetMode="External"/><Relationship Id="rId7" Type="http://schemas.openxmlformats.org/officeDocument/2006/relationships/hyperlink" Target="https://www.inmuebles24.com/propiedades/clasificado/veclcain-residencia-doble-cerca-del-malecon-6-recamaras-149520775.html" TargetMode="External"/><Relationship Id="rId2" Type="http://schemas.openxmlformats.org/officeDocument/2006/relationships/hyperlink" Target="https://www.inmuebles24.com/propiedades/clasificado/veclcain-se-vende-casa-en-el-centro-149107667.html" TargetMode="External"/><Relationship Id="rId16" Type="http://schemas.openxmlformats.org/officeDocument/2006/relationships/hyperlink" Target="https://www.inmuebles24.com/propiedades/clasificado/veclcain-casa-en-venta-en-residencial-149282280.html" TargetMode="External"/><Relationship Id="rId29" Type="http://schemas.openxmlformats.org/officeDocument/2006/relationships/hyperlink" Target="https://www.inmuebles24.com/propiedades/clasificado/veclcain-casa-con-2-departamentos-excelente-ubicacion-149382929.html" TargetMode="External"/><Relationship Id="rId11" Type="http://schemas.openxmlformats.org/officeDocument/2006/relationships/hyperlink" Target="https://www.inmuebles24.com/propiedades/clasificado/veclcain-casa-en-venta-en-real-palmira-en-la-paz-baja-149204193.html" TargetMode="External"/><Relationship Id="rId24" Type="http://schemas.openxmlformats.org/officeDocument/2006/relationships/hyperlink" Target="https://www.inmuebles24.com/propiedades/clasificado/veclcain-residencia-de-lujo-con-vista-al-mar-en-venta-la-paz-148983390.html" TargetMode="External"/><Relationship Id="rId32" Type="http://schemas.openxmlformats.org/officeDocument/2006/relationships/hyperlink" Target="https://www.inmuebles24.com/propiedades/clasificado/veclcain-casa-en-venta-en-privada-con-casa-club-en-la-paz-baja-149079490.html" TargetMode="External"/><Relationship Id="rId37" Type="http://schemas.openxmlformats.org/officeDocument/2006/relationships/hyperlink" Target="https://www.inmuebles24.com/propiedades/clasificado/veclcain-propiedad-con-vista-al-mar-en-el-comitan-la-paz-b.-c.-148702144.html" TargetMode="External"/><Relationship Id="rId40" Type="http://schemas.openxmlformats.org/officeDocument/2006/relationships/hyperlink" Target="https://www.inmuebles24.com/propiedades/clasificado/veclcain-se-vende-casa-en-fracc-residencial-150624355.html" TargetMode="External"/><Relationship Id="rId45" Type="http://schemas.openxmlformats.org/officeDocument/2006/relationships/hyperlink" Target="https://www.inmuebles24.com/propiedades/clasificado/veclcain-propiedad-en-venta-en-agua-amarga-la-paz-b.-c.-s.-148784051.html" TargetMode="External"/><Relationship Id="rId53" Type="http://schemas.openxmlformats.org/officeDocument/2006/relationships/hyperlink" Target="https://www.inmuebles24.com/propiedades/clasificado/veclcain-casa-en-venta-a-una-cuadra-de-plaza-soriana-forjadores-149132486.html" TargetMode="External"/><Relationship Id="rId5" Type="http://schemas.openxmlformats.org/officeDocument/2006/relationships/hyperlink" Target="https://www.inmuebles24.com/propiedades/clasificado/veclcain-casa-de-lujo-modelo-san-jorge-3-recamaras-y-acabados-149652867.html" TargetMode="External"/><Relationship Id="rId10" Type="http://schemas.openxmlformats.org/officeDocument/2006/relationships/hyperlink" Target="https://www.inmuebles24.com/propiedades/clasificado/veclcain-casa-ensenada-150112102.html" TargetMode="External"/><Relationship Id="rId19" Type="http://schemas.openxmlformats.org/officeDocument/2006/relationships/hyperlink" Target="https://www.inmuebles24.com/propiedades/clasificado/veclcain-casa-la-rosa-150245538.html" TargetMode="External"/><Relationship Id="rId31" Type="http://schemas.openxmlformats.org/officeDocument/2006/relationships/hyperlink" Target="https://www.inmuebles24.com/propiedades/clasificado/veclcain-casa-palmira-149325303.html" TargetMode="External"/><Relationship Id="rId44" Type="http://schemas.openxmlformats.org/officeDocument/2006/relationships/hyperlink" Target="https://www.inmuebles24.com/propiedades/clasificado/veclcain-casa-ballenas-fidepaz-147287702.html" TargetMode="External"/><Relationship Id="rId52" Type="http://schemas.openxmlformats.org/officeDocument/2006/relationships/hyperlink" Target="https://www.inmuebles24.com/propiedades/clasificado/veclcain-casa-colima-148802627.html" TargetMode="External"/><Relationship Id="rId4" Type="http://schemas.openxmlformats.org/officeDocument/2006/relationships/hyperlink" Target="https://www.inmuebles24.com/propiedades/clasificado/veclcapa-hermosa-casa-residencial-marina-sur-150676167.html" TargetMode="External"/><Relationship Id="rId9" Type="http://schemas.openxmlformats.org/officeDocument/2006/relationships/hyperlink" Target="https://www.inmuebles24.com/propiedades/clasificado/veclcain-casa-en-venta-en-puerta-cortez-en-la-paz-baja-sur-149579231.html" TargetMode="External"/><Relationship Id="rId14" Type="http://schemas.openxmlformats.org/officeDocument/2006/relationships/hyperlink" Target="https://www.inmuebles24.com/propiedades/clasificado/veclcain-casa-en-venta-de-una-planta-149607064.html" TargetMode="External"/><Relationship Id="rId22" Type="http://schemas.openxmlformats.org/officeDocument/2006/relationships/hyperlink" Target="https://www.inmuebles24.com/propiedades/clasificado/veclcain-casa-en-venta-en-residencial-145274286.html" TargetMode="External"/><Relationship Id="rId27" Type="http://schemas.openxmlformats.org/officeDocument/2006/relationships/hyperlink" Target="https://www.inmuebles24.com/propiedades/clasificado/veclcain-casa-loft-con-alberca-paseos-del-cortes-la-paz-baja-150511837.html" TargetMode="External"/><Relationship Id="rId30" Type="http://schemas.openxmlformats.org/officeDocument/2006/relationships/hyperlink" Target="https://www.inmuebles24.com/propiedades/clasificado/veclcain-casa-camino-real-150735167.html" TargetMode="External"/><Relationship Id="rId35" Type="http://schemas.openxmlformats.org/officeDocument/2006/relationships/hyperlink" Target="https://www.inmuebles24.com/propiedades/clasificado/veclcain-casa-en-venta-en-privada-en-la-paz-baja-california-sur-146269901.html" TargetMode="External"/><Relationship Id="rId43" Type="http://schemas.openxmlformats.org/officeDocument/2006/relationships/hyperlink" Target="https://www.inmuebles24.com/propiedades/clasificado/veclcain-casa-nueva-en-venta-en-la-paz-baja-california-sur-146253229.html" TargetMode="External"/><Relationship Id="rId48" Type="http://schemas.openxmlformats.org/officeDocument/2006/relationships/hyperlink" Target="https://www.inmuebles24.com/propiedades/clasificado/veclcain-casa-en-venta-en-el-centro-de-la-paz-bcs-146995647.html" TargetMode="External"/><Relationship Id="rId56" Type="http://schemas.openxmlformats.org/officeDocument/2006/relationships/hyperlink" Target="https://www.inmuebles24.com/propiedades/clasificado/veclcain-casa-en-venta-arcoiris-3-148711664.html" TargetMode="External"/><Relationship Id="rId8" Type="http://schemas.openxmlformats.org/officeDocument/2006/relationships/hyperlink" Target="https://www.inmuebles24.com/propiedades/clasificado/veclcain-casa-en-venta-en-residencial-90731137.html" TargetMode="External"/><Relationship Id="rId51" Type="http://schemas.openxmlformats.org/officeDocument/2006/relationships/hyperlink" Target="https://www.inmuebles24.com/propiedades/clasificado/veclcain-residencia-de-una-planta-en-venta-pueblo-nuevo-la-150598993.html" TargetMode="External"/><Relationship Id="rId3" Type="http://schemas.openxmlformats.org/officeDocument/2006/relationships/hyperlink" Target="https://www.inmuebles24.com/propiedades/clasificado/veclcain-casa-de-las-rosas-149741145.html" TargetMode="External"/><Relationship Id="rId12" Type="http://schemas.openxmlformats.org/officeDocument/2006/relationships/hyperlink" Target="https://www.inmuebles24.com/propiedades/clasificado/veclcain-casa-frente-a-las-dunas-y-el-mar-del-golfo-de-145467221.html" TargetMode="External"/><Relationship Id="rId17" Type="http://schemas.openxmlformats.org/officeDocument/2006/relationships/hyperlink" Target="https://www.inmuebles24.com/propiedades/clasificado/veclcain-casa-punta-arena-149646502.html" TargetMode="External"/><Relationship Id="rId25" Type="http://schemas.openxmlformats.org/officeDocument/2006/relationships/hyperlink" Target="https://www.inmuebles24.com/propiedades/clasificado/veclcain-casa-en-venta-en-la-paz-baja-california-sur-146268479.html" TargetMode="External"/><Relationship Id="rId33" Type="http://schemas.openxmlformats.org/officeDocument/2006/relationships/hyperlink" Target="https://www.inmuebles24.com/propiedades/clasificado/veclcain-casa-en-venta-en-pedregal-en-la-paz-baja-california-148776381.html" TargetMode="External"/><Relationship Id="rId38" Type="http://schemas.openxmlformats.org/officeDocument/2006/relationships/hyperlink" Target="https://www.inmuebles24.com/propiedades/clasificado/veclcain-casa-chukum-149044766.html" TargetMode="External"/><Relationship Id="rId46" Type="http://schemas.openxmlformats.org/officeDocument/2006/relationships/hyperlink" Target="https://www.inmuebles24.com/propiedades/clasificado/veclcain-casa-bugambilias-149991958.html" TargetMode="External"/><Relationship Id="rId20" Type="http://schemas.openxmlformats.org/officeDocument/2006/relationships/hyperlink" Target="https://www.inmuebles24.com/propiedades/clasificado/veclcain-casa-en-venta-en-privada-2-plantas-la-paz-bcs-148201218.html" TargetMode="External"/><Relationship Id="rId41" Type="http://schemas.openxmlformats.org/officeDocument/2006/relationships/hyperlink" Target="https://www.inmuebles24.com/propiedades/clasificado/veclcapa-casa-para-entrega-inmediata-150545694.html" TargetMode="External"/><Relationship Id="rId54" Type="http://schemas.openxmlformats.org/officeDocument/2006/relationships/hyperlink" Target="https://www.inmuebles24.com/propiedades/clasificado/veclcain-casa-en-venta-en-privada-peninsula-sur-amueblada-149056546.html" TargetMode="External"/><Relationship Id="rId1" Type="http://schemas.openxmlformats.org/officeDocument/2006/relationships/hyperlink" Target="https://www.inmuebles24.com/propiedades/clasificado/veclcain-residencia-de-lujo-alberca-privada-en-venta-el-148926190.html" TargetMode="External"/><Relationship Id="rId6" Type="http://schemas.openxmlformats.org/officeDocument/2006/relationships/hyperlink" Target="https://www.inmuebles24.com/propiedades/clasificado/veclcain-casa-con-3-recamaras-en-180-m-sup2--de-terreno-en-149655309.html" TargetMode="External"/><Relationship Id="rId15" Type="http://schemas.openxmlformats.org/officeDocument/2006/relationships/hyperlink" Target="https://www.inmuebles24.com/propiedades/clasificado/veclcain-casa-en-venta-en-miramar-141761691.html" TargetMode="External"/><Relationship Id="rId23" Type="http://schemas.openxmlformats.org/officeDocument/2006/relationships/hyperlink" Target="https://www.inmuebles24.com/propiedades/clasificado/veclcain-venta-casa-encinas-centro-teatro-de-la-ciudad-la-146615366.html" TargetMode="External"/><Relationship Id="rId28" Type="http://schemas.openxmlformats.org/officeDocument/2006/relationships/hyperlink" Target="https://www.inmuebles24.com/propiedades/clasificado/veclcain-casa-en-venta-en-guaycura-150627821.html" TargetMode="External"/><Relationship Id="rId36" Type="http://schemas.openxmlformats.org/officeDocument/2006/relationships/hyperlink" Target="https://www.inmuebles24.com/propiedades/clasificado/veclcain-casa-en-venta-tabachines-av-bahia-concepcion-147447751.html" TargetMode="External"/><Relationship Id="rId49" Type="http://schemas.openxmlformats.org/officeDocument/2006/relationships/hyperlink" Target="https://www.inmuebles24.com/propiedades/clasificado/veclcain-casa-en-venta-en-lomas-de-palmira-la-paz-bcs-con-150660862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incali.com/en/home/condominios-arena-blanca-301" TargetMode="External"/><Relationship Id="rId21" Type="http://schemas.openxmlformats.org/officeDocument/2006/relationships/hyperlink" Target="https://www.dipaz.com.mx/projects/altavela-residencial-corbeta/" TargetMode="External"/><Relationship Id="rId42" Type="http://schemas.openxmlformats.org/officeDocument/2006/relationships/hyperlink" Target="https://clasco.mx/bienesraices/propiedad/casa-pisa-en-fraccionamiento-antares_848252" TargetMode="External"/><Relationship Id="rId47" Type="http://schemas.openxmlformats.org/officeDocument/2006/relationships/hyperlink" Target="https://propiedades.com/altamira-residencial-la-paz-baja-california-sur/casas-venta" TargetMode="External"/><Relationship Id="rId63" Type="http://schemas.openxmlformats.org/officeDocument/2006/relationships/hyperlink" Target="https://cabolaestancia.com/bcs/la-paz/villas-del-centenario/7025-villas-del-centenario-casa-paz/" TargetMode="External"/><Relationship Id="rId68" Type="http://schemas.openxmlformats.org/officeDocument/2006/relationships/hyperlink" Target="https://villasdelcentenario.com/" TargetMode="External"/><Relationship Id="rId84" Type="http://schemas.openxmlformats.org/officeDocument/2006/relationships/hyperlink" Target="https://marvista.mx/" TargetMode="External"/><Relationship Id="rId89" Type="http://schemas.openxmlformats.org/officeDocument/2006/relationships/hyperlink" Target="https://www.iadmexico.mx/departamentos/en-venta/venta-departamento-en-zona-centro-de-la-paz-bcs-97m2/239631" TargetMode="External"/><Relationship Id="rId112" Type="http://schemas.openxmlformats.org/officeDocument/2006/relationships/hyperlink" Target="https://www.lamudi.com.mx/baja-california-sur/la-paz/departamento/departamentos/for-sale/" TargetMode="External"/><Relationship Id="rId16" Type="http://schemas.openxmlformats.org/officeDocument/2006/relationships/hyperlink" Target="https://www.casasenventalapaz.com/property/casa-san-francisco-en-privada-santa-julia" TargetMode="External"/><Relationship Id="rId107" Type="http://schemas.openxmlformats.org/officeDocument/2006/relationships/hyperlink" Target="https://www.lamudi.com.mx/baja-california-sur/la-paz/departamento/departamentos/for-sale/" TargetMode="External"/><Relationship Id="rId11" Type="http://schemas.openxmlformats.org/officeDocument/2006/relationships/hyperlink" Target="https://www.inmobiliariafh.com/en/our-developments/san-rafael_en/san-antonio-model" TargetMode="External"/><Relationship Id="rId32" Type="http://schemas.openxmlformats.org/officeDocument/2006/relationships/hyperlink" Target="https://www.pincali.com/en/home/residencial-los-naranjos" TargetMode="External"/><Relationship Id="rId37" Type="http://schemas.openxmlformats.org/officeDocument/2006/relationships/hyperlink" Target="https://www.casasenventalapaz.com/property/casa-porto-portobello-residencial-coto-3-lt-30" TargetMode="External"/><Relationship Id="rId53" Type="http://schemas.openxmlformats.org/officeDocument/2006/relationships/hyperlink" Target="https://cabodreamhomes.com/property/casa-cielo-azul-calle-10/" TargetMode="External"/><Relationship Id="rId58" Type="http://schemas.openxmlformats.org/officeDocument/2006/relationships/hyperlink" Target="https://www.desiertoymar.com/" TargetMode="External"/><Relationship Id="rId74" Type="http://schemas.openxmlformats.org/officeDocument/2006/relationships/hyperlink" Target="https://www.geoproperties.com.mx/property/casa-hacienda-esterito" TargetMode="External"/><Relationship Id="rId79" Type="http://schemas.openxmlformats.org/officeDocument/2006/relationships/hyperlink" Target="https://www.inmuebles24.com/propiedades/clasificado/veclapin-venta-departamentos-la-paz-bcs-marvista-condominios.-144289345.html" TargetMode="External"/><Relationship Id="rId102" Type="http://schemas.openxmlformats.org/officeDocument/2006/relationships/hyperlink" Target="https://marenacondos.com/en/" TargetMode="External"/><Relationship Id="rId123" Type="http://schemas.openxmlformats.org/officeDocument/2006/relationships/hyperlink" Target="https://arualiving.com/" TargetMode="External"/><Relationship Id="rId128" Type="http://schemas.openxmlformats.org/officeDocument/2006/relationships/hyperlink" Target="https://tribunademexico.com/avanza-la-construccion-de-viviendas-del-bienestar-en-la-paz-bcs/" TargetMode="External"/><Relationship Id="rId5" Type="http://schemas.openxmlformats.org/officeDocument/2006/relationships/hyperlink" Target="https://puertacortesrealestate.com/las-colinas/" TargetMode="External"/><Relationship Id="rId90" Type="http://schemas.openxmlformats.org/officeDocument/2006/relationships/hyperlink" Target="https://www.iadmexico.mx/departamentos/en-venta/venta-departamento-en-zona-centro-de-la-paz-bcs-97m2/239631" TargetMode="External"/><Relationship Id="rId95" Type="http://schemas.openxmlformats.org/officeDocument/2006/relationships/hyperlink" Target="https://www.inmuebles24.com/propiedades/clasificado/veclapin-balaena-costa-apartments-condos-pre-venta-en-la-paz-146207535.html" TargetMode="External"/><Relationship Id="rId22" Type="http://schemas.openxmlformats.org/officeDocument/2006/relationships/hyperlink" Target="https://www.dipaz.com.mx/projects/altavela-residencial-corbeta/" TargetMode="External"/><Relationship Id="rId27" Type="http://schemas.openxmlformats.org/officeDocument/2006/relationships/hyperlink" Target="https://www.casasenventalapaz.com/property/casa-merced-marbella-residencial-la-paz-bcs" TargetMode="External"/><Relationship Id="rId43" Type="http://schemas.openxmlformats.org/officeDocument/2006/relationships/hyperlink" Target="https://propiedades.com/antares-residencial-la-paz-baja-california-sur/casas-venta" TargetMode="External"/><Relationship Id="rId48" Type="http://schemas.openxmlformats.org/officeDocument/2006/relationships/hyperlink" Target="https://propiedades.com/altamira-residencial-la-paz-baja-california-sur/casas-venta" TargetMode="External"/><Relationship Id="rId64" Type="http://schemas.openxmlformats.org/officeDocument/2006/relationships/hyperlink" Target="https://cabolaestancia.com/bcs/la-paz/villas-del-centenario/7025-villas-del-centenario-casa-paz/" TargetMode="External"/><Relationship Id="rId69" Type="http://schemas.openxmlformats.org/officeDocument/2006/relationships/hyperlink" Target="https://villasdelcentenario.com/" TargetMode="External"/><Relationship Id="rId113" Type="http://schemas.openxmlformats.org/officeDocument/2006/relationships/hyperlink" Target="https://www.lamudi.com.mx/baja-california-sur/la-paz/departamento/departamentos/for-sale/" TargetMode="External"/><Relationship Id="rId118" Type="http://schemas.openxmlformats.org/officeDocument/2006/relationships/hyperlink" Target="https://www.pincali.com/en/home/condominios-arena-blanca-301" TargetMode="External"/><Relationship Id="rId80" Type="http://schemas.openxmlformats.org/officeDocument/2006/relationships/hyperlink" Target="https://www.inmuebles24.com/propiedades/clasificado/veclapin-venta-departamentos-la-paz-bcs-marvista-condominios.-144289345.html" TargetMode="External"/><Relationship Id="rId85" Type="http://schemas.openxmlformats.org/officeDocument/2006/relationships/hyperlink" Target="https://clbienesraices.com/condominio-venta-central-la-paz/8116439" TargetMode="External"/><Relationship Id="rId12" Type="http://schemas.openxmlformats.org/officeDocument/2006/relationships/hyperlink" Target="https://www.inmobiliariafh.com/en/our-developments/san-rafael_en/san-antonio-model" TargetMode="External"/><Relationship Id="rId17" Type="http://schemas.openxmlformats.org/officeDocument/2006/relationships/hyperlink" Target="https://www.geoproperties.com.mx/property/priv-santa-julia-santa-maria" TargetMode="External"/><Relationship Id="rId33" Type="http://schemas.openxmlformats.org/officeDocument/2006/relationships/hyperlink" Target="https://www.pincali.com/inmueble/casa-nueva-en-privada-a-15-minutos-del-malecon-de-la-paz-el-centenario" TargetMode="External"/><Relationship Id="rId38" Type="http://schemas.openxmlformats.org/officeDocument/2006/relationships/hyperlink" Target="https://www.casasenventalapaz.com/property/casa-porto-portobello-residencial-coto-3-lt-30" TargetMode="External"/><Relationship Id="rId59" Type="http://schemas.openxmlformats.org/officeDocument/2006/relationships/hyperlink" Target="https://www.desiertoymar.com/" TargetMode="External"/><Relationship Id="rId103" Type="http://schemas.openxmlformats.org/officeDocument/2006/relationships/hyperlink" Target="https://marenacondos.com/en/" TargetMode="External"/><Relationship Id="rId108" Type="http://schemas.openxmlformats.org/officeDocument/2006/relationships/hyperlink" Target="https://www.lamudi.com.mx/baja-california-sur/la-paz/departamento/departamentos/for-sale/" TargetMode="External"/><Relationship Id="rId124" Type="http://schemas.openxmlformats.org/officeDocument/2006/relationships/hyperlink" Target="https://arualiving.com/" TargetMode="External"/><Relationship Id="rId129" Type="http://schemas.openxmlformats.org/officeDocument/2006/relationships/table" Target="../tables/table1.xml"/><Relationship Id="rId54" Type="http://schemas.openxmlformats.org/officeDocument/2006/relationships/hyperlink" Target="https://cabodreamhomes.com/property/casa-cielo-azul-calle-10/" TargetMode="External"/><Relationship Id="rId70" Type="http://schemas.openxmlformats.org/officeDocument/2006/relationships/hyperlink" Target="https://villasdelcentenario.com/" TargetMode="External"/><Relationship Id="rId75" Type="http://schemas.openxmlformats.org/officeDocument/2006/relationships/hyperlink" Target="https://propiedades.com/inmuebles/casa-en-venta-el-sargento-baja_california_sur-14630111" TargetMode="External"/><Relationship Id="rId91" Type="http://schemas.openxmlformats.org/officeDocument/2006/relationships/hyperlink" Target="https://thex.condos/en/property/sky-home/" TargetMode="External"/><Relationship Id="rId96" Type="http://schemas.openxmlformats.org/officeDocument/2006/relationships/hyperlink" Target="https://www.inmuebles24.com/propiedades/clasificado/veclapin-balaena-costa-apartments-condos-pre-venta-en-la-paz-146207535.html" TargetMode="External"/><Relationship Id="rId1" Type="http://schemas.openxmlformats.org/officeDocument/2006/relationships/hyperlink" Target="https://realestatemarket.com.mx/articulos/mercado-inmobiliario/turistico/12045-costa-baja-resort-marina" TargetMode="External"/><Relationship Id="rId6" Type="http://schemas.openxmlformats.org/officeDocument/2006/relationships/hyperlink" Target="https://puertacortesrealestate.com/las-colinas/" TargetMode="External"/><Relationship Id="rId23" Type="http://schemas.openxmlformats.org/officeDocument/2006/relationships/hyperlink" Target="https://www.dipaz.com.mx/projects/altavela-residencial-fragata/" TargetMode="External"/><Relationship Id="rId28" Type="http://schemas.openxmlformats.org/officeDocument/2006/relationships/hyperlink" Target="https://www.casasenventalapaz.com/property/casa-merced-marbella-residencial-la-paz-bcs" TargetMode="External"/><Relationship Id="rId49" Type="http://schemas.openxmlformats.org/officeDocument/2006/relationships/hyperlink" Target="https://propiedades.com/altamira-residencial-la-paz-baja-california-sur/casas-venta" TargetMode="External"/><Relationship Id="rId114" Type="http://schemas.openxmlformats.org/officeDocument/2006/relationships/hyperlink" Target="https://www.lamudi.com.mx/baja-california-sur/la-paz/departamento/departamentos/for-sale/" TargetMode="External"/><Relationship Id="rId119" Type="http://schemas.openxmlformats.org/officeDocument/2006/relationships/hyperlink" Target="https://www.pincali.com/en/home/condominios-arena-blanca-601" TargetMode="External"/><Relationship Id="rId44" Type="http://schemas.openxmlformats.org/officeDocument/2006/relationships/hyperlink" Target="https://propiedades.com/antares-residencial-la-paz-baja-california-sur/casas-venta" TargetMode="External"/><Relationship Id="rId60" Type="http://schemas.openxmlformats.org/officeDocument/2006/relationships/hyperlink" Target="https://www.desiertoymar.com/" TargetMode="External"/><Relationship Id="rId65" Type="http://schemas.openxmlformats.org/officeDocument/2006/relationships/hyperlink" Target="https://villasdelcentenario.com/" TargetMode="External"/><Relationship Id="rId81" Type="http://schemas.openxmlformats.org/officeDocument/2006/relationships/hyperlink" Target="https://www.amistadrealestates.com/property/marvista-condominio-404-salvia-118" TargetMode="External"/><Relationship Id="rId86" Type="http://schemas.openxmlformats.org/officeDocument/2006/relationships/hyperlink" Target="https://clbienesraices.com/condominio-venta-central-la-paz/8116439" TargetMode="External"/><Relationship Id="rId13" Type="http://schemas.openxmlformats.org/officeDocument/2006/relationships/hyperlink" Target="https://www.casasenventalapaz.com/property/priv-santa-julia-san-juan" TargetMode="External"/><Relationship Id="rId18" Type="http://schemas.openxmlformats.org/officeDocument/2006/relationships/hyperlink" Target="https://www.geoproperties.com.mx/property/priv-santa-julia-santa-maria" TargetMode="External"/><Relationship Id="rId39" Type="http://schemas.openxmlformats.org/officeDocument/2006/relationships/hyperlink" Target="https://www.pincali.com/en/home/venta-en-antares-residencial" TargetMode="External"/><Relationship Id="rId109" Type="http://schemas.openxmlformats.org/officeDocument/2006/relationships/hyperlink" Target="https://www.lamudi.com.mx/baja-california-sur/la-paz/departamento/departamentos/for-sale/" TargetMode="External"/><Relationship Id="rId34" Type="http://schemas.openxmlformats.org/officeDocument/2006/relationships/hyperlink" Target="https://www.pincali.com/inmueble/casa-nueva-en-privada-a-15-minutos-del-malecon-de-la-paz-el-centenario" TargetMode="External"/><Relationship Id="rId50" Type="http://schemas.openxmlformats.org/officeDocument/2006/relationships/hyperlink" Target="https://propiedades.com/altamira-residencial-la-paz-baja-california-sur/casas-venta" TargetMode="External"/><Relationship Id="rId55" Type="http://schemas.openxmlformats.org/officeDocument/2006/relationships/hyperlink" Target="https://www.casasenventalapaz.com/property/casa-mar-en-preventa-en-desierto-y-mar-residencial-la-paz-bcs" TargetMode="External"/><Relationship Id="rId76" Type="http://schemas.openxmlformats.org/officeDocument/2006/relationships/hyperlink" Target="https://propiedades.com/inmuebles/casa-en-venta-el-sargento-baja_california_sur-14630111" TargetMode="External"/><Relationship Id="rId97" Type="http://schemas.openxmlformats.org/officeDocument/2006/relationships/hyperlink" Target="https://clasco.mx/bienesraices/propiedad/unidad-503--balaena-costa-apartments-pre-venta-en-lomas-de-palmira-la-paz_1809559" TargetMode="External"/><Relationship Id="rId104" Type="http://schemas.openxmlformats.org/officeDocument/2006/relationships/hyperlink" Target="https://marenacondos.com/en/" TargetMode="External"/><Relationship Id="rId120" Type="http://schemas.openxmlformats.org/officeDocument/2006/relationships/hyperlink" Target="https://www.pincali.com/en/home/condominios-arena-blanca-601" TargetMode="External"/><Relationship Id="rId125" Type="http://schemas.openxmlformats.org/officeDocument/2006/relationships/hyperlink" Target="https://southbajarealtors.com/single-listing/?id=25-6016" TargetMode="External"/><Relationship Id="rId7" Type="http://schemas.openxmlformats.org/officeDocument/2006/relationships/hyperlink" Target="https://www.geoproperties.com.mx/property/res-san-rafael-santa-isabel" TargetMode="External"/><Relationship Id="rId71" Type="http://schemas.openxmlformats.org/officeDocument/2006/relationships/hyperlink" Target="https://villasdelcentenario.com/" TargetMode="External"/><Relationship Id="rId92" Type="http://schemas.openxmlformats.org/officeDocument/2006/relationships/hyperlink" Target="https://thex.condos/en/property/sky-home/" TargetMode="External"/><Relationship Id="rId2" Type="http://schemas.openxmlformats.org/officeDocument/2006/relationships/hyperlink" Target="https://realestatemarket.com.mx/articulos/mercado-inmobiliario/turistico/12045-costa-baja-resort-marina" TargetMode="External"/><Relationship Id="rId29" Type="http://schemas.openxmlformats.org/officeDocument/2006/relationships/hyperlink" Target="https://www.geoproperties.com.mx/property/casa-en-venta-en-privada-los-naranjos" TargetMode="External"/><Relationship Id="rId24" Type="http://schemas.openxmlformats.org/officeDocument/2006/relationships/hyperlink" Target="https://www.dipaz.com.mx/projects/altavela-residencial-fragata/" TargetMode="External"/><Relationship Id="rId40" Type="http://schemas.openxmlformats.org/officeDocument/2006/relationships/hyperlink" Target="https://www.pincali.com/en/home/venta-en-antares-residencial" TargetMode="External"/><Relationship Id="rId45" Type="http://schemas.openxmlformats.org/officeDocument/2006/relationships/hyperlink" Target="https://propiedades.com/altamira-residencial-la-paz-baja-california-sur/casas-venta" TargetMode="External"/><Relationship Id="rId66" Type="http://schemas.openxmlformats.org/officeDocument/2006/relationships/hyperlink" Target="https://villasdelcentenario.com/" TargetMode="External"/><Relationship Id="rId87" Type="http://schemas.openxmlformats.org/officeDocument/2006/relationships/hyperlink" Target="https://www.lamudi.com.mx/detalle/41032-73-9c97559738e0-d75f-1922620-b245-76b1" TargetMode="External"/><Relationship Id="rId110" Type="http://schemas.openxmlformats.org/officeDocument/2006/relationships/hyperlink" Target="https://www.lamudi.com.mx/baja-california-sur/la-paz/departamento/departamentos/for-sale/" TargetMode="External"/><Relationship Id="rId115" Type="http://schemas.openxmlformats.org/officeDocument/2006/relationships/hyperlink" Target="https://www.lamudi.com.mx/baja-california-sur/la-paz/pedregal-del-cortes/casa/for-sale/" TargetMode="External"/><Relationship Id="rId61" Type="http://schemas.openxmlformats.org/officeDocument/2006/relationships/hyperlink" Target="https://www.desiertoymar.com/" TargetMode="External"/><Relationship Id="rId82" Type="http://schemas.openxmlformats.org/officeDocument/2006/relationships/hyperlink" Target="https://www.amistadrealestates.com/property/marvista-condominio-404-salvia-118" TargetMode="External"/><Relationship Id="rId19" Type="http://schemas.openxmlformats.org/officeDocument/2006/relationships/hyperlink" Target="https://www.pincali.com/inmueble/casa-velero-altavela-residencial-altezza-residencial-la-paz" TargetMode="External"/><Relationship Id="rId14" Type="http://schemas.openxmlformats.org/officeDocument/2006/relationships/hyperlink" Target="https://www.casasenventalapaz.com/property/priv-santa-julia-san-juan" TargetMode="External"/><Relationship Id="rId30" Type="http://schemas.openxmlformats.org/officeDocument/2006/relationships/hyperlink" Target="https://www.geoproperties.com.mx/property/casa-en-venta-en-privada-los-naranjos" TargetMode="External"/><Relationship Id="rId35" Type="http://schemas.openxmlformats.org/officeDocument/2006/relationships/hyperlink" Target="https://www.enlacespatrimoniales.mx/property/casa-galeta-portobello-residencial-la-paz-bcs-el-centenario" TargetMode="External"/><Relationship Id="rId56" Type="http://schemas.openxmlformats.org/officeDocument/2006/relationships/hyperlink" Target="https://www.casasenventalapaz.com/property/casa-mar-en-preventa-en-desierto-y-mar-residencial-la-paz-bcs" TargetMode="External"/><Relationship Id="rId77" Type="http://schemas.openxmlformats.org/officeDocument/2006/relationships/hyperlink" Target="https://www.amistadrealestates.com/property/marvista-condominio-104-cardon-65" TargetMode="External"/><Relationship Id="rId100" Type="http://schemas.openxmlformats.org/officeDocument/2006/relationships/hyperlink" Target="https://departamento.mercadolibre.com.mx/MLM-3638187560-penthouse-601-balaena-costa-apartments-precioso-ph-en-pre-venta-la-paz-_JM" TargetMode="External"/><Relationship Id="rId105" Type="http://schemas.openxmlformats.org/officeDocument/2006/relationships/hyperlink" Target="https://www.geoproperties.com.mx/property/marena-condominios-4b" TargetMode="External"/><Relationship Id="rId126" Type="http://schemas.openxmlformats.org/officeDocument/2006/relationships/hyperlink" Target="https://southbajarealtors.com/single-listing/?id=25-6016" TargetMode="External"/><Relationship Id="rId8" Type="http://schemas.openxmlformats.org/officeDocument/2006/relationships/hyperlink" Target="https://www.geoproperties.com.mx/property/res-san-rafael-santa-isabel" TargetMode="External"/><Relationship Id="rId51" Type="http://schemas.openxmlformats.org/officeDocument/2006/relationships/hyperlink" Target="https://www.pincali.com/en/home/casa-cielo-azul-el-centenario" TargetMode="External"/><Relationship Id="rId72" Type="http://schemas.openxmlformats.org/officeDocument/2006/relationships/hyperlink" Target="https://villasdelcentenario.com/" TargetMode="External"/><Relationship Id="rId93" Type="http://schemas.openxmlformats.org/officeDocument/2006/relationships/hyperlink" Target="https://www.pincali.com/en/real-estate-agents/expr_1/home/unidad-203-balaena-costa-apartments-pre-venta-en-lomas-de-palmira-la-paz-lomas-de-palmira" TargetMode="External"/><Relationship Id="rId98" Type="http://schemas.openxmlformats.org/officeDocument/2006/relationships/hyperlink" Target="https://clasco.mx/bienesraices/propiedad/unidad-503--balaena-costa-apartments-pre-venta-en-lomas-de-palmira-la-paz_1809559" TargetMode="External"/><Relationship Id="rId121" Type="http://schemas.openxmlformats.org/officeDocument/2006/relationships/hyperlink" Target="https://poseknowscabo.com/baja-california-sur/la-paz/arua/1710-santos-degollado-arua-living-mogote/" TargetMode="External"/><Relationship Id="rId3" Type="http://schemas.openxmlformats.org/officeDocument/2006/relationships/hyperlink" Target="https://cabolaestancia.com/bcs/la-paz/costa-baja-resort/45-puerta-cortez-casa-las-colinas/" TargetMode="External"/><Relationship Id="rId25" Type="http://schemas.openxmlformats.org/officeDocument/2006/relationships/hyperlink" Target="https://www.geoproperties.com.mx/property/casa-ambar-marbella-residencial-la-paz-bcs" TargetMode="External"/><Relationship Id="rId46" Type="http://schemas.openxmlformats.org/officeDocument/2006/relationships/hyperlink" Target="https://propiedades.com/altamira-residencial-la-paz-baja-california-sur/casas-venta" TargetMode="External"/><Relationship Id="rId67" Type="http://schemas.openxmlformats.org/officeDocument/2006/relationships/hyperlink" Target="https://villasdelcentenario.com/" TargetMode="External"/><Relationship Id="rId116" Type="http://schemas.openxmlformats.org/officeDocument/2006/relationships/hyperlink" Target="https://www.lamudi.com.mx/baja-california-sur/la-paz/pedregal-del-cortes/casa/for-sale/" TargetMode="External"/><Relationship Id="rId20" Type="http://schemas.openxmlformats.org/officeDocument/2006/relationships/hyperlink" Target="https://www.pincali.com/inmueble/casa-velero-altavela-residencial-altezza-residencial-la-paz" TargetMode="External"/><Relationship Id="rId41" Type="http://schemas.openxmlformats.org/officeDocument/2006/relationships/hyperlink" Target="https://clasco.mx/bienesraices/propiedad/casa-pisa-en-fraccionamiento-antares_848252" TargetMode="External"/><Relationship Id="rId62" Type="http://schemas.openxmlformats.org/officeDocument/2006/relationships/hyperlink" Target="https://www.desiertoymar.com/" TargetMode="External"/><Relationship Id="rId83" Type="http://schemas.openxmlformats.org/officeDocument/2006/relationships/hyperlink" Target="https://marvista.mx/" TargetMode="External"/><Relationship Id="rId88" Type="http://schemas.openxmlformats.org/officeDocument/2006/relationships/hyperlink" Target="https://www.lamudi.com.mx/detalle/41032-73-9c97559738e0-d75f-1922620-b245-76b1" TargetMode="External"/><Relationship Id="rId111" Type="http://schemas.openxmlformats.org/officeDocument/2006/relationships/hyperlink" Target="https://www.lamudi.com.mx/baja-california-sur/la-paz/departamento/departamentos/for-sale/" TargetMode="External"/><Relationship Id="rId15" Type="http://schemas.openxmlformats.org/officeDocument/2006/relationships/hyperlink" Target="https://www.casasenventalapaz.com/property/casa-san-francisco-en-privada-santa-julia" TargetMode="External"/><Relationship Id="rId36" Type="http://schemas.openxmlformats.org/officeDocument/2006/relationships/hyperlink" Target="https://www.enlacespatrimoniales.mx/property/casa-galeta-portobello-residencial-la-paz-bcs-el-centenario" TargetMode="External"/><Relationship Id="rId57" Type="http://schemas.openxmlformats.org/officeDocument/2006/relationships/hyperlink" Target="https://www.desiertoymar.com/" TargetMode="External"/><Relationship Id="rId106" Type="http://schemas.openxmlformats.org/officeDocument/2006/relationships/hyperlink" Target="https://www.geoproperties.com.mx/property/marena-condominios-4b" TargetMode="External"/><Relationship Id="rId127" Type="http://schemas.openxmlformats.org/officeDocument/2006/relationships/hyperlink" Target="https://tribunademexico.com/avanza-la-construccion-de-viviendas-del-bienestar-en-la-paz-bcs/" TargetMode="External"/><Relationship Id="rId10" Type="http://schemas.openxmlformats.org/officeDocument/2006/relationships/hyperlink" Target="https://www.inmobiliariafh.com/nuestros-desarrollos/san-rafael/modelo-san-jorge" TargetMode="External"/><Relationship Id="rId31" Type="http://schemas.openxmlformats.org/officeDocument/2006/relationships/hyperlink" Target="https://www.pincali.com/en/home/residencial-los-naranjos" TargetMode="External"/><Relationship Id="rId52" Type="http://schemas.openxmlformats.org/officeDocument/2006/relationships/hyperlink" Target="https://www.pincali.com/en/home/casa-cielo-azul-el-centenario" TargetMode="External"/><Relationship Id="rId73" Type="http://schemas.openxmlformats.org/officeDocument/2006/relationships/hyperlink" Target="https://www.geoproperties.com.mx/property/casa-hacienda-esterito" TargetMode="External"/><Relationship Id="rId78" Type="http://schemas.openxmlformats.org/officeDocument/2006/relationships/hyperlink" Target="https://www.amistadrealestates.com/property/marvista-condominio-104-cardon-65" TargetMode="External"/><Relationship Id="rId94" Type="http://schemas.openxmlformats.org/officeDocument/2006/relationships/hyperlink" Target="https://www.pincali.com/en/real-estate-agents/expr_1/home/unidad-203-balaena-costa-apartments-pre-venta-en-lomas-de-palmira-la-paz-lomas-de-palmira" TargetMode="External"/><Relationship Id="rId99" Type="http://schemas.openxmlformats.org/officeDocument/2006/relationships/hyperlink" Target="https://departamento.mercadolibre.com.mx/MLM-3638187560-penthouse-601-balaena-costa-apartments-precioso-ph-en-pre-venta-la-paz-_JM" TargetMode="External"/><Relationship Id="rId101" Type="http://schemas.openxmlformats.org/officeDocument/2006/relationships/hyperlink" Target="https://marenacondos.com/en/" TargetMode="External"/><Relationship Id="rId122" Type="http://schemas.openxmlformats.org/officeDocument/2006/relationships/hyperlink" Target="https://poseknowscabo.com/baja-california-sur/la-paz/arua/1710-santos-degollado-arua-living-mogote/" TargetMode="External"/><Relationship Id="rId4" Type="http://schemas.openxmlformats.org/officeDocument/2006/relationships/hyperlink" Target="https://cabolaestancia.com/bcs/la-paz/costa-baja-resort/45-puerta-cortez-casa-las-colinas/" TargetMode="External"/><Relationship Id="rId9" Type="http://schemas.openxmlformats.org/officeDocument/2006/relationships/hyperlink" Target="https://www.inmobiliariafh.com/nuestros-desarrollos/san-rafael/modelo-san-jorge" TargetMode="External"/><Relationship Id="rId26" Type="http://schemas.openxmlformats.org/officeDocument/2006/relationships/hyperlink" Target="https://www.geoproperties.com.mx/property/casa-ambar-marbella-residencial-la-paz-b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4" width="15" customWidth="1"/>
    <col min="5" max="5" width="20" customWidth="1"/>
    <col min="6" max="7" width="26" customWidth="1"/>
    <col min="9" max="9" width="10" customWidth="1"/>
    <col min="10" max="10" width="8" customWidth="1"/>
    <col min="11" max="11" width="12" customWidth="1"/>
    <col min="12" max="12" width="13" customWidth="1"/>
    <col min="13" max="13" width="45" customWidth="1"/>
    <col min="14" max="14" width="14" customWidth="1"/>
    <col min="15" max="15" width="15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.5" x14ac:dyDescent="0.25">
      <c r="A2" s="2">
        <v>1</v>
      </c>
      <c r="B2" s="3" t="s">
        <v>15</v>
      </c>
      <c r="C2" s="4">
        <v>31905450</v>
      </c>
      <c r="D2" s="5" t="s">
        <v>16</v>
      </c>
      <c r="E2" s="5" t="s">
        <v>17</v>
      </c>
      <c r="F2" s="3" t="s">
        <v>18</v>
      </c>
      <c r="G2" s="3" t="s">
        <v>19</v>
      </c>
      <c r="H2" s="2">
        <v>1478</v>
      </c>
      <c r="I2" s="2">
        <v>3</v>
      </c>
      <c r="J2" s="2">
        <v>3</v>
      </c>
      <c r="K2" s="2">
        <v>1</v>
      </c>
      <c r="L2" s="2" t="s">
        <v>20</v>
      </c>
      <c r="M2" s="3" t="s">
        <v>21</v>
      </c>
      <c r="N2" s="6">
        <f t="shared" ref="N2:N33" si="0">IFERROR(C2/H2,0)</f>
        <v>21586.907983761841</v>
      </c>
      <c r="O2" s="7" t="s">
        <v>22</v>
      </c>
    </row>
    <row r="3" spans="1:15" ht="25.5" x14ac:dyDescent="0.25">
      <c r="A3" s="2">
        <v>2</v>
      </c>
      <c r="B3" s="3" t="s">
        <v>23</v>
      </c>
      <c r="C3" s="4">
        <v>4350000</v>
      </c>
      <c r="D3" s="5" t="s">
        <v>24</v>
      </c>
      <c r="E3" s="5" t="s">
        <v>25</v>
      </c>
      <c r="F3" s="3" t="s">
        <v>26</v>
      </c>
      <c r="G3" s="3" t="s">
        <v>27</v>
      </c>
      <c r="H3" s="2">
        <v>93</v>
      </c>
      <c r="I3" s="2">
        <v>3</v>
      </c>
      <c r="J3" s="2">
        <v>2</v>
      </c>
      <c r="K3" s="2">
        <v>0</v>
      </c>
      <c r="L3" s="2" t="s">
        <v>20</v>
      </c>
      <c r="M3" s="3" t="s">
        <v>28</v>
      </c>
      <c r="N3" s="6">
        <f t="shared" si="0"/>
        <v>46774.193548387098</v>
      </c>
      <c r="O3" s="7" t="s">
        <v>22</v>
      </c>
    </row>
    <row r="4" spans="1:15" ht="25.5" x14ac:dyDescent="0.25">
      <c r="A4" s="2">
        <v>3</v>
      </c>
      <c r="B4" s="3" t="s">
        <v>29</v>
      </c>
      <c r="C4" s="4">
        <v>14008000</v>
      </c>
      <c r="D4" s="5" t="s">
        <v>30</v>
      </c>
      <c r="E4" s="5" t="s">
        <v>31</v>
      </c>
      <c r="F4" s="3" t="s">
        <v>32</v>
      </c>
      <c r="G4" s="3" t="s">
        <v>33</v>
      </c>
      <c r="H4" s="2">
        <v>300</v>
      </c>
      <c r="I4" s="2">
        <v>2</v>
      </c>
      <c r="J4" s="2">
        <v>2</v>
      </c>
      <c r="K4" s="2">
        <v>3</v>
      </c>
      <c r="L4" s="2" t="s">
        <v>20</v>
      </c>
      <c r="M4" s="3" t="s">
        <v>34</v>
      </c>
      <c r="N4" s="6">
        <f t="shared" si="0"/>
        <v>46693.333333333336</v>
      </c>
      <c r="O4" s="7" t="s">
        <v>22</v>
      </c>
    </row>
    <row r="5" spans="1:15" ht="25.5" x14ac:dyDescent="0.25">
      <c r="A5" s="2">
        <v>4</v>
      </c>
      <c r="B5" s="3" t="s">
        <v>35</v>
      </c>
      <c r="C5" s="4">
        <v>6500000</v>
      </c>
      <c r="D5" s="5" t="s">
        <v>36</v>
      </c>
      <c r="E5" s="5" t="s">
        <v>25</v>
      </c>
      <c r="F5" s="3" t="s">
        <v>37</v>
      </c>
      <c r="G5" s="3" t="s">
        <v>38</v>
      </c>
      <c r="H5" s="2">
        <v>326</v>
      </c>
      <c r="I5" s="2">
        <v>3</v>
      </c>
      <c r="J5" s="2">
        <v>2</v>
      </c>
      <c r="K5" s="2">
        <v>4</v>
      </c>
      <c r="L5" s="2" t="s">
        <v>20</v>
      </c>
      <c r="M5" s="3" t="s">
        <v>39</v>
      </c>
      <c r="N5" s="6">
        <f t="shared" si="0"/>
        <v>19938.650306748466</v>
      </c>
      <c r="O5" s="7" t="s">
        <v>22</v>
      </c>
    </row>
    <row r="6" spans="1:15" ht="25.5" x14ac:dyDescent="0.25">
      <c r="A6" s="2">
        <v>5</v>
      </c>
      <c r="B6" s="3" t="s">
        <v>40</v>
      </c>
      <c r="C6" s="4">
        <v>3200000</v>
      </c>
      <c r="D6" s="5" t="s">
        <v>41</v>
      </c>
      <c r="E6" s="5" t="s">
        <v>25</v>
      </c>
      <c r="F6" s="3" t="s">
        <v>42</v>
      </c>
      <c r="G6" s="3" t="s">
        <v>43</v>
      </c>
      <c r="H6" s="2">
        <v>122</v>
      </c>
      <c r="I6" s="2">
        <v>3</v>
      </c>
      <c r="J6" s="2">
        <v>2</v>
      </c>
      <c r="K6" s="2">
        <v>2</v>
      </c>
      <c r="L6" s="2" t="s">
        <v>20</v>
      </c>
      <c r="M6" s="3" t="s">
        <v>44</v>
      </c>
      <c r="N6" s="6">
        <f t="shared" si="0"/>
        <v>26229.508196721312</v>
      </c>
      <c r="O6" s="7" t="s">
        <v>22</v>
      </c>
    </row>
    <row r="7" spans="1:15" ht="25.5" x14ac:dyDescent="0.25">
      <c r="A7" s="2">
        <v>6</v>
      </c>
      <c r="B7" s="3" t="s">
        <v>45</v>
      </c>
      <c r="C7" s="4">
        <v>6536000</v>
      </c>
      <c r="D7" s="5" t="s">
        <v>46</v>
      </c>
      <c r="E7" s="5" t="s">
        <v>25</v>
      </c>
      <c r="F7" s="3" t="s">
        <v>47</v>
      </c>
      <c r="G7" s="3" t="s">
        <v>48</v>
      </c>
      <c r="H7" s="2">
        <v>180</v>
      </c>
      <c r="I7" s="2">
        <v>3</v>
      </c>
      <c r="J7" s="2">
        <v>3</v>
      </c>
      <c r="K7" s="2">
        <v>2</v>
      </c>
      <c r="L7" s="2" t="s">
        <v>49</v>
      </c>
      <c r="M7" s="3" t="s">
        <v>50</v>
      </c>
      <c r="N7" s="6">
        <f t="shared" si="0"/>
        <v>36311.111111111109</v>
      </c>
      <c r="O7" s="7" t="s">
        <v>22</v>
      </c>
    </row>
    <row r="8" spans="1:15" ht="25.5" x14ac:dyDescent="0.25">
      <c r="A8" s="2">
        <v>7</v>
      </c>
      <c r="B8" s="3" t="s">
        <v>51</v>
      </c>
      <c r="C8" s="4">
        <v>13500000</v>
      </c>
      <c r="D8" s="5" t="s">
        <v>52</v>
      </c>
      <c r="E8" s="5" t="s">
        <v>25</v>
      </c>
      <c r="F8" s="3" t="s">
        <v>53</v>
      </c>
      <c r="G8" s="3" t="s">
        <v>54</v>
      </c>
      <c r="H8" s="2">
        <v>455</v>
      </c>
      <c r="I8" s="2">
        <v>6</v>
      </c>
      <c r="J8" s="2">
        <v>5</v>
      </c>
      <c r="K8" s="2">
        <v>4</v>
      </c>
      <c r="L8" s="2" t="s">
        <v>20</v>
      </c>
      <c r="M8" s="3" t="s">
        <v>55</v>
      </c>
      <c r="N8" s="6">
        <f t="shared" si="0"/>
        <v>29670.329670329669</v>
      </c>
      <c r="O8" s="7" t="s">
        <v>22</v>
      </c>
    </row>
    <row r="9" spans="1:15" ht="25.5" x14ac:dyDescent="0.25">
      <c r="A9" s="2">
        <v>8</v>
      </c>
      <c r="B9" s="3" t="s">
        <v>56</v>
      </c>
      <c r="C9" s="4">
        <v>3035000</v>
      </c>
      <c r="D9" s="5" t="s">
        <v>57</v>
      </c>
      <c r="E9" s="5" t="s">
        <v>25</v>
      </c>
      <c r="F9" s="3" t="s">
        <v>58</v>
      </c>
      <c r="G9" s="3" t="s">
        <v>59</v>
      </c>
      <c r="H9" s="2">
        <v>140</v>
      </c>
      <c r="I9" s="2">
        <v>3</v>
      </c>
      <c r="J9" s="2">
        <v>2</v>
      </c>
      <c r="K9" s="2">
        <v>1</v>
      </c>
      <c r="L9" s="2" t="s">
        <v>60</v>
      </c>
      <c r="M9" s="3" t="s">
        <v>61</v>
      </c>
      <c r="N9" s="6">
        <f t="shared" si="0"/>
        <v>21678.571428571428</v>
      </c>
      <c r="O9" s="7" t="s">
        <v>22</v>
      </c>
    </row>
    <row r="10" spans="1:15" ht="25.5" x14ac:dyDescent="0.25">
      <c r="A10" s="2">
        <v>9</v>
      </c>
      <c r="B10" s="3" t="s">
        <v>62</v>
      </c>
      <c r="C10" s="4">
        <v>20589400</v>
      </c>
      <c r="D10" s="5" t="s">
        <v>63</v>
      </c>
      <c r="E10" s="5" t="s">
        <v>64</v>
      </c>
      <c r="F10" s="3" t="s">
        <v>65</v>
      </c>
      <c r="G10" s="3" t="s">
        <v>66</v>
      </c>
      <c r="H10" s="2">
        <v>198</v>
      </c>
      <c r="I10" s="2">
        <v>4</v>
      </c>
      <c r="J10" s="2">
        <v>3</v>
      </c>
      <c r="K10" s="2">
        <v>1</v>
      </c>
      <c r="L10" s="2" t="s">
        <v>67</v>
      </c>
      <c r="M10" s="3" t="s">
        <v>68</v>
      </c>
      <c r="N10" s="6">
        <f t="shared" si="0"/>
        <v>103986.86868686869</v>
      </c>
      <c r="O10" s="7" t="s">
        <v>22</v>
      </c>
    </row>
    <row r="11" spans="1:15" ht="38.25" x14ac:dyDescent="0.25">
      <c r="A11" s="2">
        <v>10</v>
      </c>
      <c r="B11" s="3" t="s">
        <v>69</v>
      </c>
      <c r="C11" s="4">
        <v>4490000</v>
      </c>
      <c r="D11" s="5" t="s">
        <v>70</v>
      </c>
      <c r="E11" s="5" t="s">
        <v>25</v>
      </c>
      <c r="F11" s="3" t="s">
        <v>71</v>
      </c>
      <c r="G11" s="3" t="s">
        <v>72</v>
      </c>
      <c r="H11" s="2">
        <v>160</v>
      </c>
      <c r="I11" s="2">
        <v>3</v>
      </c>
      <c r="J11" s="2">
        <v>3</v>
      </c>
      <c r="K11" s="2">
        <v>2</v>
      </c>
      <c r="L11" s="2" t="s">
        <v>73</v>
      </c>
      <c r="M11" s="3" t="s">
        <v>74</v>
      </c>
      <c r="N11" s="6">
        <f t="shared" si="0"/>
        <v>28062.5</v>
      </c>
      <c r="O11" s="7" t="s">
        <v>22</v>
      </c>
    </row>
    <row r="12" spans="1:15" ht="25.5" x14ac:dyDescent="0.25">
      <c r="A12" s="2">
        <v>11</v>
      </c>
      <c r="B12" s="3" t="s">
        <v>75</v>
      </c>
      <c r="C12" s="4">
        <v>44908600</v>
      </c>
      <c r="D12" s="5" t="s">
        <v>76</v>
      </c>
      <c r="E12" s="5" t="s">
        <v>77</v>
      </c>
      <c r="F12" s="3" t="s">
        <v>65</v>
      </c>
      <c r="G12" s="3" t="s">
        <v>78</v>
      </c>
      <c r="H12" s="2">
        <v>594</v>
      </c>
      <c r="I12" s="2">
        <v>4</v>
      </c>
      <c r="J12" s="2">
        <v>5</v>
      </c>
      <c r="K12" s="2">
        <v>3</v>
      </c>
      <c r="L12" s="2" t="s">
        <v>20</v>
      </c>
      <c r="M12" s="3" t="s">
        <v>79</v>
      </c>
      <c r="N12" s="6">
        <f t="shared" si="0"/>
        <v>75603.703703703708</v>
      </c>
      <c r="O12" s="7" t="s">
        <v>22</v>
      </c>
    </row>
    <row r="13" spans="1:15" ht="25.5" x14ac:dyDescent="0.25">
      <c r="A13" s="2">
        <v>12</v>
      </c>
      <c r="B13" s="3" t="s">
        <v>80</v>
      </c>
      <c r="C13" s="4">
        <v>5200000</v>
      </c>
      <c r="D13" s="5" t="s">
        <v>81</v>
      </c>
      <c r="E13" s="5" t="s">
        <v>25</v>
      </c>
      <c r="F13" s="3" t="s">
        <v>82</v>
      </c>
      <c r="G13" s="3" t="s">
        <v>83</v>
      </c>
      <c r="H13" s="2">
        <v>500</v>
      </c>
      <c r="I13" s="2">
        <v>1</v>
      </c>
      <c r="J13" s="2">
        <v>1</v>
      </c>
      <c r="K13" s="2">
        <v>2</v>
      </c>
      <c r="L13" s="2" t="s">
        <v>20</v>
      </c>
      <c r="M13" s="3" t="s">
        <v>84</v>
      </c>
      <c r="N13" s="6">
        <f t="shared" si="0"/>
        <v>10400</v>
      </c>
      <c r="O13" s="7" t="s">
        <v>22</v>
      </c>
    </row>
    <row r="14" spans="1:15" ht="25.5" x14ac:dyDescent="0.25">
      <c r="A14" s="2">
        <v>13</v>
      </c>
      <c r="B14" s="3" t="s">
        <v>85</v>
      </c>
      <c r="C14" s="4">
        <v>8837460</v>
      </c>
      <c r="D14" s="5" t="s">
        <v>86</v>
      </c>
      <c r="E14" s="5" t="s">
        <v>87</v>
      </c>
      <c r="F14" s="3" t="s">
        <v>88</v>
      </c>
      <c r="G14" s="3" t="s">
        <v>89</v>
      </c>
      <c r="H14" s="2">
        <v>198</v>
      </c>
      <c r="I14" s="2">
        <v>2</v>
      </c>
      <c r="J14" s="2">
        <v>3</v>
      </c>
      <c r="K14" s="2">
        <v>2</v>
      </c>
      <c r="L14" s="2" t="s">
        <v>90</v>
      </c>
      <c r="M14" s="3" t="s">
        <v>91</v>
      </c>
      <c r="N14" s="6">
        <f t="shared" si="0"/>
        <v>44633.63636363636</v>
      </c>
      <c r="O14" s="7" t="s">
        <v>22</v>
      </c>
    </row>
    <row r="15" spans="1:15" ht="25.5" x14ac:dyDescent="0.25">
      <c r="A15" s="2">
        <v>14</v>
      </c>
      <c r="B15" s="3" t="s">
        <v>92</v>
      </c>
      <c r="C15" s="4">
        <v>2819900</v>
      </c>
      <c r="D15" s="5" t="s">
        <v>93</v>
      </c>
      <c r="E15" s="5" t="s">
        <v>25</v>
      </c>
      <c r="F15" s="3" t="s">
        <v>58</v>
      </c>
      <c r="G15" s="3" t="s">
        <v>59</v>
      </c>
      <c r="H15" s="2">
        <v>140</v>
      </c>
      <c r="I15" s="2">
        <v>2</v>
      </c>
      <c r="J15" s="2">
        <v>2</v>
      </c>
      <c r="K15" s="2">
        <v>2</v>
      </c>
      <c r="L15" s="2" t="s">
        <v>20</v>
      </c>
      <c r="M15" s="3" t="s">
        <v>94</v>
      </c>
      <c r="N15" s="6">
        <f t="shared" si="0"/>
        <v>20142.142857142859</v>
      </c>
      <c r="O15" s="7" t="s">
        <v>22</v>
      </c>
    </row>
    <row r="16" spans="1:15" ht="25.5" x14ac:dyDescent="0.25">
      <c r="A16" s="2">
        <v>15</v>
      </c>
      <c r="B16" s="3" t="s">
        <v>95</v>
      </c>
      <c r="C16" s="4">
        <v>1519900</v>
      </c>
      <c r="D16" s="5" t="s">
        <v>96</v>
      </c>
      <c r="E16" s="5" t="s">
        <v>25</v>
      </c>
      <c r="F16" s="3" t="s">
        <v>97</v>
      </c>
      <c r="G16" s="3" t="s">
        <v>98</v>
      </c>
      <c r="H16" s="2">
        <v>140</v>
      </c>
      <c r="I16" s="2">
        <v>2</v>
      </c>
      <c r="J16" s="2">
        <v>1</v>
      </c>
      <c r="K16" s="2">
        <v>1</v>
      </c>
      <c r="L16" s="2" t="s">
        <v>20</v>
      </c>
      <c r="M16" s="3" t="s">
        <v>99</v>
      </c>
      <c r="N16" s="6">
        <f t="shared" si="0"/>
        <v>10856.428571428571</v>
      </c>
      <c r="O16" s="7" t="s">
        <v>22</v>
      </c>
    </row>
    <row r="17" spans="1:15" ht="25.5" x14ac:dyDescent="0.25">
      <c r="A17" s="2">
        <v>16</v>
      </c>
      <c r="B17" s="3" t="s">
        <v>100</v>
      </c>
      <c r="C17" s="4">
        <v>3080000</v>
      </c>
      <c r="D17" s="5" t="s">
        <v>101</v>
      </c>
      <c r="E17" s="5" t="s">
        <v>25</v>
      </c>
      <c r="F17" s="3" t="s">
        <v>42</v>
      </c>
      <c r="G17" s="3" t="s">
        <v>102</v>
      </c>
      <c r="H17" s="2">
        <v>129</v>
      </c>
      <c r="I17" s="2">
        <v>3</v>
      </c>
      <c r="J17" s="2">
        <v>2</v>
      </c>
      <c r="K17" s="2">
        <v>3</v>
      </c>
      <c r="L17" s="2" t="s">
        <v>20</v>
      </c>
      <c r="M17" s="3" t="s">
        <v>103</v>
      </c>
      <c r="N17" s="6">
        <f t="shared" si="0"/>
        <v>23875.968992248061</v>
      </c>
      <c r="O17" s="7" t="s">
        <v>22</v>
      </c>
    </row>
    <row r="18" spans="1:15" ht="25.5" x14ac:dyDescent="0.25">
      <c r="A18" s="2">
        <v>17</v>
      </c>
      <c r="B18" s="3" t="s">
        <v>104</v>
      </c>
      <c r="C18" s="4">
        <v>5800000</v>
      </c>
      <c r="D18" s="5" t="s">
        <v>105</v>
      </c>
      <c r="E18" s="5" t="s">
        <v>25</v>
      </c>
      <c r="F18" s="3" t="s">
        <v>106</v>
      </c>
      <c r="G18" s="3" t="s">
        <v>107</v>
      </c>
      <c r="H18" s="2">
        <v>169</v>
      </c>
      <c r="I18" s="2">
        <v>3</v>
      </c>
      <c r="J18" s="2">
        <v>3</v>
      </c>
      <c r="K18" s="2">
        <v>3</v>
      </c>
      <c r="L18" s="2" t="s">
        <v>108</v>
      </c>
      <c r="M18" s="3" t="s">
        <v>109</v>
      </c>
      <c r="N18" s="6">
        <f t="shared" si="0"/>
        <v>34319.526627218933</v>
      </c>
      <c r="O18" s="7" t="s">
        <v>22</v>
      </c>
    </row>
    <row r="19" spans="1:15" ht="25.5" x14ac:dyDescent="0.25">
      <c r="A19" s="2">
        <v>18</v>
      </c>
      <c r="B19" s="3" t="s">
        <v>110</v>
      </c>
      <c r="C19" s="4">
        <v>4950000</v>
      </c>
      <c r="D19" s="5" t="s">
        <v>111</v>
      </c>
      <c r="E19" s="5" t="s">
        <v>25</v>
      </c>
      <c r="F19" s="3" t="s">
        <v>47</v>
      </c>
      <c r="G19" s="3" t="s">
        <v>112</v>
      </c>
      <c r="H19" s="2">
        <v>200</v>
      </c>
      <c r="I19" s="2">
        <v>3</v>
      </c>
      <c r="J19" s="2">
        <v>2</v>
      </c>
      <c r="K19" s="2">
        <v>2</v>
      </c>
      <c r="L19" s="2" t="s">
        <v>20</v>
      </c>
      <c r="M19" s="3" t="s">
        <v>113</v>
      </c>
      <c r="N19" s="6">
        <f t="shared" si="0"/>
        <v>24750</v>
      </c>
      <c r="O19" s="7" t="s">
        <v>22</v>
      </c>
    </row>
    <row r="20" spans="1:15" ht="25.5" x14ac:dyDescent="0.25">
      <c r="A20" s="2">
        <v>19</v>
      </c>
      <c r="B20" s="3" t="s">
        <v>114</v>
      </c>
      <c r="C20" s="4">
        <v>4500000</v>
      </c>
      <c r="D20" s="5" t="s">
        <v>115</v>
      </c>
      <c r="E20" s="5" t="s">
        <v>25</v>
      </c>
      <c r="F20" s="3" t="s">
        <v>116</v>
      </c>
      <c r="G20" s="3" t="s">
        <v>117</v>
      </c>
      <c r="H20" s="2">
        <v>240</v>
      </c>
      <c r="I20" s="2">
        <v>4</v>
      </c>
      <c r="J20" s="2">
        <v>2</v>
      </c>
      <c r="K20" s="2">
        <v>2</v>
      </c>
      <c r="L20" s="2" t="s">
        <v>20</v>
      </c>
      <c r="M20" s="3" t="s">
        <v>118</v>
      </c>
      <c r="N20" s="6">
        <f t="shared" si="0"/>
        <v>18750</v>
      </c>
      <c r="O20" s="7" t="s">
        <v>22</v>
      </c>
    </row>
    <row r="21" spans="1:15" ht="25.5" x14ac:dyDescent="0.25">
      <c r="A21" s="2">
        <v>20</v>
      </c>
      <c r="B21" s="3" t="s">
        <v>119</v>
      </c>
      <c r="C21" s="4">
        <v>3800000</v>
      </c>
      <c r="D21" s="5" t="s">
        <v>120</v>
      </c>
      <c r="E21" s="5" t="s">
        <v>25</v>
      </c>
      <c r="F21" s="3" t="s">
        <v>42</v>
      </c>
      <c r="G21" s="3" t="s">
        <v>43</v>
      </c>
      <c r="H21" s="2">
        <v>136</v>
      </c>
      <c r="I21" s="2">
        <v>3</v>
      </c>
      <c r="J21" s="2">
        <v>2</v>
      </c>
      <c r="K21" s="2">
        <v>2</v>
      </c>
      <c r="L21" s="2" t="s">
        <v>121</v>
      </c>
      <c r="M21" s="3" t="s">
        <v>122</v>
      </c>
      <c r="N21" s="6">
        <f t="shared" si="0"/>
        <v>27941.176470588234</v>
      </c>
      <c r="O21" s="7" t="s">
        <v>22</v>
      </c>
    </row>
    <row r="22" spans="1:15" ht="25.5" x14ac:dyDescent="0.25">
      <c r="A22" s="2">
        <v>21</v>
      </c>
      <c r="B22" s="3" t="s">
        <v>123</v>
      </c>
      <c r="C22" s="4">
        <v>2700000</v>
      </c>
      <c r="D22" s="5" t="s">
        <v>124</v>
      </c>
      <c r="E22" s="5" t="s">
        <v>25</v>
      </c>
      <c r="F22" s="3" t="s">
        <v>42</v>
      </c>
      <c r="G22" s="3" t="s">
        <v>43</v>
      </c>
      <c r="H22" s="2">
        <v>140</v>
      </c>
      <c r="I22" s="2">
        <v>2</v>
      </c>
      <c r="J22" s="2">
        <v>2</v>
      </c>
      <c r="K22" s="2">
        <v>1</v>
      </c>
      <c r="L22" s="2" t="s">
        <v>20</v>
      </c>
      <c r="M22" s="3" t="s">
        <v>125</v>
      </c>
      <c r="N22" s="6">
        <f t="shared" si="0"/>
        <v>19285.714285714286</v>
      </c>
      <c r="O22" s="7" t="s">
        <v>22</v>
      </c>
    </row>
    <row r="23" spans="1:15" ht="25.5" x14ac:dyDescent="0.25">
      <c r="A23" s="2">
        <v>22</v>
      </c>
      <c r="B23" s="3" t="s">
        <v>126</v>
      </c>
      <c r="C23" s="4">
        <v>4050000</v>
      </c>
      <c r="D23" s="5" t="s">
        <v>127</v>
      </c>
      <c r="E23" s="5" t="s">
        <v>25</v>
      </c>
      <c r="F23" s="3" t="s">
        <v>42</v>
      </c>
      <c r="G23" s="3" t="s">
        <v>128</v>
      </c>
      <c r="H23" s="2">
        <v>150</v>
      </c>
      <c r="I23" s="2">
        <v>3</v>
      </c>
      <c r="J23" s="2">
        <v>3</v>
      </c>
      <c r="K23" s="2">
        <v>3</v>
      </c>
      <c r="L23" s="2" t="s">
        <v>20</v>
      </c>
      <c r="M23" s="3" t="s">
        <v>129</v>
      </c>
      <c r="N23" s="6">
        <f t="shared" si="0"/>
        <v>27000</v>
      </c>
      <c r="O23" s="7" t="s">
        <v>22</v>
      </c>
    </row>
    <row r="24" spans="1:15" ht="25.5" x14ac:dyDescent="0.25">
      <c r="A24" s="2">
        <v>23</v>
      </c>
      <c r="B24" s="3" t="s">
        <v>130</v>
      </c>
      <c r="C24" s="4">
        <v>11500000</v>
      </c>
      <c r="D24" s="5" t="s">
        <v>131</v>
      </c>
      <c r="E24" s="5" t="s">
        <v>25</v>
      </c>
      <c r="F24" s="3" t="s">
        <v>26</v>
      </c>
      <c r="G24" s="3" t="s">
        <v>132</v>
      </c>
      <c r="H24" s="2">
        <v>600</v>
      </c>
      <c r="I24" s="2">
        <v>4</v>
      </c>
      <c r="J24" s="2">
        <v>3</v>
      </c>
      <c r="K24" s="2">
        <v>2</v>
      </c>
      <c r="L24" s="2" t="s">
        <v>20</v>
      </c>
      <c r="M24" s="3" t="s">
        <v>133</v>
      </c>
      <c r="N24" s="6">
        <f t="shared" si="0"/>
        <v>19166.666666666668</v>
      </c>
      <c r="O24" s="7" t="s">
        <v>22</v>
      </c>
    </row>
    <row r="25" spans="1:15" ht="25.5" x14ac:dyDescent="0.25">
      <c r="A25" s="2">
        <v>24</v>
      </c>
      <c r="B25" s="3" t="s">
        <v>134</v>
      </c>
      <c r="C25" s="4">
        <v>19878100</v>
      </c>
      <c r="D25" s="5" t="s">
        <v>135</v>
      </c>
      <c r="E25" s="5" t="s">
        <v>136</v>
      </c>
      <c r="F25" s="3" t="s">
        <v>71</v>
      </c>
      <c r="G25" s="3" t="s">
        <v>20</v>
      </c>
      <c r="H25" s="2">
        <v>241</v>
      </c>
      <c r="I25" s="2">
        <v>3</v>
      </c>
      <c r="J25" s="2">
        <v>2</v>
      </c>
      <c r="K25" s="2">
        <v>1</v>
      </c>
      <c r="L25" s="2" t="s">
        <v>20</v>
      </c>
      <c r="M25" s="3" t="s">
        <v>137</v>
      </c>
      <c r="N25" s="6">
        <f t="shared" si="0"/>
        <v>82481.742738589208</v>
      </c>
      <c r="O25" s="7" t="s">
        <v>22</v>
      </c>
    </row>
    <row r="26" spans="1:15" ht="25.5" x14ac:dyDescent="0.25">
      <c r="A26" s="2">
        <v>25</v>
      </c>
      <c r="B26" s="3" t="s">
        <v>138</v>
      </c>
      <c r="C26" s="4">
        <v>3130000</v>
      </c>
      <c r="D26" s="5" t="s">
        <v>139</v>
      </c>
      <c r="E26" s="5" t="s">
        <v>25</v>
      </c>
      <c r="F26" s="3" t="s">
        <v>42</v>
      </c>
      <c r="G26" s="3" t="s">
        <v>140</v>
      </c>
      <c r="H26" s="2">
        <v>122</v>
      </c>
      <c r="I26" s="2">
        <v>3</v>
      </c>
      <c r="J26" s="2">
        <v>2</v>
      </c>
      <c r="K26" s="2">
        <v>2</v>
      </c>
      <c r="L26" s="2" t="s">
        <v>20</v>
      </c>
      <c r="M26" s="3" t="s">
        <v>141</v>
      </c>
      <c r="N26" s="6">
        <f t="shared" si="0"/>
        <v>25655.737704918032</v>
      </c>
      <c r="O26" s="7" t="s">
        <v>22</v>
      </c>
    </row>
    <row r="27" spans="1:15" ht="25.5" x14ac:dyDescent="0.25">
      <c r="A27" s="2">
        <v>26</v>
      </c>
      <c r="B27" s="3" t="s">
        <v>142</v>
      </c>
      <c r="C27" s="4">
        <v>2616000</v>
      </c>
      <c r="D27" s="5" t="s">
        <v>143</v>
      </c>
      <c r="E27" s="5" t="s">
        <v>25</v>
      </c>
      <c r="F27" s="3" t="s">
        <v>42</v>
      </c>
      <c r="G27" s="3" t="s">
        <v>144</v>
      </c>
      <c r="H27" s="2">
        <v>140</v>
      </c>
      <c r="I27" s="2">
        <v>2</v>
      </c>
      <c r="J27" s="2">
        <v>2</v>
      </c>
      <c r="K27" s="2">
        <v>1</v>
      </c>
      <c r="L27" s="2" t="s">
        <v>20</v>
      </c>
      <c r="M27" s="3" t="s">
        <v>145</v>
      </c>
      <c r="N27" s="6">
        <f t="shared" si="0"/>
        <v>18685.714285714286</v>
      </c>
      <c r="O27" s="7" t="s">
        <v>22</v>
      </c>
    </row>
    <row r="28" spans="1:15" ht="25.5" x14ac:dyDescent="0.25">
      <c r="A28" s="2">
        <v>27</v>
      </c>
      <c r="B28" s="3" t="s">
        <v>146</v>
      </c>
      <c r="C28" s="4">
        <v>3950000</v>
      </c>
      <c r="D28" s="5" t="s">
        <v>147</v>
      </c>
      <c r="E28" s="5" t="s">
        <v>25</v>
      </c>
      <c r="F28" s="3" t="s">
        <v>71</v>
      </c>
      <c r="G28" s="3" t="s">
        <v>148</v>
      </c>
      <c r="H28" s="2">
        <v>230</v>
      </c>
      <c r="I28" s="2">
        <v>1</v>
      </c>
      <c r="J28" s="2">
        <v>2</v>
      </c>
      <c r="K28" s="2">
        <v>3</v>
      </c>
      <c r="L28" s="2" t="s">
        <v>20</v>
      </c>
      <c r="M28" s="3" t="s">
        <v>149</v>
      </c>
      <c r="N28" s="6">
        <f t="shared" si="0"/>
        <v>17173.91304347826</v>
      </c>
      <c r="O28" s="7" t="s">
        <v>22</v>
      </c>
    </row>
    <row r="29" spans="1:15" ht="25.5" x14ac:dyDescent="0.25">
      <c r="A29" s="2">
        <v>28</v>
      </c>
      <c r="B29" s="3" t="s">
        <v>150</v>
      </c>
      <c r="C29" s="4">
        <v>40170600</v>
      </c>
      <c r="D29" s="5" t="s">
        <v>151</v>
      </c>
      <c r="E29" s="5" t="s">
        <v>152</v>
      </c>
      <c r="F29" s="3" t="s">
        <v>153</v>
      </c>
      <c r="G29" s="3" t="s">
        <v>154</v>
      </c>
      <c r="H29" s="2">
        <v>1261</v>
      </c>
      <c r="I29" s="2">
        <v>5</v>
      </c>
      <c r="J29" s="2">
        <v>4</v>
      </c>
      <c r="K29" s="2">
        <v>4</v>
      </c>
      <c r="L29" s="2" t="s">
        <v>20</v>
      </c>
      <c r="M29" s="3" t="s">
        <v>155</v>
      </c>
      <c r="N29" s="6">
        <f t="shared" si="0"/>
        <v>31856.145915939731</v>
      </c>
      <c r="O29" s="7" t="s">
        <v>22</v>
      </c>
    </row>
    <row r="30" spans="1:15" ht="25.5" x14ac:dyDescent="0.25">
      <c r="A30" s="2">
        <v>29</v>
      </c>
      <c r="B30" s="3" t="s">
        <v>156</v>
      </c>
      <c r="C30" s="4">
        <v>4850000</v>
      </c>
      <c r="D30" s="5" t="s">
        <v>157</v>
      </c>
      <c r="E30" s="5" t="s">
        <v>25</v>
      </c>
      <c r="F30" s="3" t="s">
        <v>158</v>
      </c>
      <c r="G30" s="3" t="s">
        <v>159</v>
      </c>
      <c r="H30" s="2">
        <v>234</v>
      </c>
      <c r="I30" s="2">
        <v>4</v>
      </c>
      <c r="J30" s="2">
        <v>3</v>
      </c>
      <c r="K30" s="2">
        <v>2</v>
      </c>
      <c r="L30" s="2" t="s">
        <v>20</v>
      </c>
      <c r="M30" s="3" t="s">
        <v>160</v>
      </c>
      <c r="N30" s="6">
        <f t="shared" si="0"/>
        <v>20726.495726495727</v>
      </c>
      <c r="O30" s="7" t="s">
        <v>22</v>
      </c>
    </row>
    <row r="31" spans="1:15" ht="25.5" x14ac:dyDescent="0.25">
      <c r="A31" s="2">
        <v>30</v>
      </c>
      <c r="B31" s="3" t="s">
        <v>161</v>
      </c>
      <c r="C31" s="4">
        <v>2475000</v>
      </c>
      <c r="D31" s="5" t="s">
        <v>162</v>
      </c>
      <c r="E31" s="5" t="s">
        <v>25</v>
      </c>
      <c r="F31" s="3" t="s">
        <v>163</v>
      </c>
      <c r="G31" s="3" t="s">
        <v>164</v>
      </c>
      <c r="H31" s="2">
        <v>160</v>
      </c>
      <c r="I31" s="2">
        <v>3</v>
      </c>
      <c r="J31" s="2">
        <v>1</v>
      </c>
      <c r="K31" s="2">
        <v>0</v>
      </c>
      <c r="L31" s="2" t="s">
        <v>20</v>
      </c>
      <c r="M31" s="3" t="s">
        <v>165</v>
      </c>
      <c r="N31" s="6">
        <f t="shared" si="0"/>
        <v>15468.75</v>
      </c>
      <c r="O31" s="7" t="s">
        <v>22</v>
      </c>
    </row>
    <row r="32" spans="1:15" ht="25.5" x14ac:dyDescent="0.25">
      <c r="A32" s="2">
        <v>31</v>
      </c>
      <c r="B32" s="3" t="s">
        <v>166</v>
      </c>
      <c r="C32" s="4">
        <v>7700000</v>
      </c>
      <c r="D32" s="5" t="s">
        <v>167</v>
      </c>
      <c r="E32" s="5" t="s">
        <v>25</v>
      </c>
      <c r="F32" s="3" t="s">
        <v>65</v>
      </c>
      <c r="G32" s="3" t="s">
        <v>168</v>
      </c>
      <c r="H32" s="2">
        <v>275</v>
      </c>
      <c r="I32" s="2">
        <v>2</v>
      </c>
      <c r="J32" s="2">
        <v>3</v>
      </c>
      <c r="K32" s="2">
        <v>2</v>
      </c>
      <c r="L32" s="2" t="s">
        <v>20</v>
      </c>
      <c r="M32" s="3" t="s">
        <v>169</v>
      </c>
      <c r="N32" s="6">
        <f t="shared" si="0"/>
        <v>28000</v>
      </c>
      <c r="O32" s="7" t="s">
        <v>22</v>
      </c>
    </row>
    <row r="33" spans="1:15" ht="25.5" x14ac:dyDescent="0.25">
      <c r="A33" s="2">
        <v>32</v>
      </c>
      <c r="B33" s="3" t="s">
        <v>170</v>
      </c>
      <c r="C33" s="4">
        <v>3877000</v>
      </c>
      <c r="D33" s="5" t="s">
        <v>171</v>
      </c>
      <c r="E33" s="5" t="s">
        <v>25</v>
      </c>
      <c r="F33" s="3" t="s">
        <v>42</v>
      </c>
      <c r="G33" s="3" t="s">
        <v>172</v>
      </c>
      <c r="H33" s="2">
        <v>136</v>
      </c>
      <c r="I33" s="2">
        <v>3</v>
      </c>
      <c r="J33" s="2">
        <v>2</v>
      </c>
      <c r="K33" s="2">
        <v>2</v>
      </c>
      <c r="L33" s="2" t="s">
        <v>20</v>
      </c>
      <c r="M33" s="3" t="s">
        <v>173</v>
      </c>
      <c r="N33" s="6">
        <f t="shared" si="0"/>
        <v>28507.352941176472</v>
      </c>
      <c r="O33" s="7" t="s">
        <v>22</v>
      </c>
    </row>
    <row r="34" spans="1:15" ht="25.5" x14ac:dyDescent="0.25">
      <c r="A34" s="2">
        <v>33</v>
      </c>
      <c r="B34" s="3" t="s">
        <v>174</v>
      </c>
      <c r="C34" s="4">
        <v>15500000</v>
      </c>
      <c r="D34" s="5" t="s">
        <v>175</v>
      </c>
      <c r="E34" s="5" t="s">
        <v>25</v>
      </c>
      <c r="F34" s="3" t="s">
        <v>176</v>
      </c>
      <c r="G34" s="3" t="s">
        <v>177</v>
      </c>
      <c r="H34" s="2">
        <v>165</v>
      </c>
      <c r="I34" s="2">
        <v>3</v>
      </c>
      <c r="J34" s="2">
        <v>3</v>
      </c>
      <c r="K34" s="2">
        <v>2</v>
      </c>
      <c r="L34" s="2" t="s">
        <v>20</v>
      </c>
      <c r="M34" s="3" t="s">
        <v>178</v>
      </c>
      <c r="N34" s="6">
        <f t="shared" ref="N34:N57" si="1">IFERROR(C34/H34,0)</f>
        <v>93939.393939393936</v>
      </c>
      <c r="O34" s="7" t="s">
        <v>22</v>
      </c>
    </row>
    <row r="35" spans="1:15" ht="25.5" x14ac:dyDescent="0.25">
      <c r="A35" s="2">
        <v>34</v>
      </c>
      <c r="B35" s="3" t="s">
        <v>179</v>
      </c>
      <c r="C35" s="4">
        <v>8900000</v>
      </c>
      <c r="D35" s="5" t="s">
        <v>180</v>
      </c>
      <c r="E35" s="5" t="s">
        <v>25</v>
      </c>
      <c r="F35" s="3" t="s">
        <v>47</v>
      </c>
      <c r="G35" s="3" t="s">
        <v>181</v>
      </c>
      <c r="H35" s="2">
        <v>322</v>
      </c>
      <c r="I35" s="2">
        <v>3</v>
      </c>
      <c r="J35" s="2">
        <v>3</v>
      </c>
      <c r="K35" s="2">
        <v>2</v>
      </c>
      <c r="L35" s="2" t="s">
        <v>20</v>
      </c>
      <c r="M35" s="3" t="s">
        <v>182</v>
      </c>
      <c r="N35" s="6">
        <f t="shared" si="1"/>
        <v>27639.751552795031</v>
      </c>
      <c r="O35" s="7" t="s">
        <v>22</v>
      </c>
    </row>
    <row r="36" spans="1:15" ht="25.5" x14ac:dyDescent="0.25">
      <c r="A36" s="2">
        <v>35</v>
      </c>
      <c r="B36" s="3" t="s">
        <v>183</v>
      </c>
      <c r="C36" s="4">
        <v>3300000</v>
      </c>
      <c r="D36" s="5" t="s">
        <v>184</v>
      </c>
      <c r="E36" s="5" t="s">
        <v>25</v>
      </c>
      <c r="F36" s="3" t="s">
        <v>42</v>
      </c>
      <c r="G36" s="3" t="s">
        <v>140</v>
      </c>
      <c r="H36" s="2">
        <v>150</v>
      </c>
      <c r="I36" s="2">
        <v>2</v>
      </c>
      <c r="J36" s="2">
        <v>2</v>
      </c>
      <c r="K36" s="2">
        <v>1</v>
      </c>
      <c r="L36" s="2" t="s">
        <v>20</v>
      </c>
      <c r="M36" s="3" t="s">
        <v>185</v>
      </c>
      <c r="N36" s="6">
        <f t="shared" si="1"/>
        <v>22000</v>
      </c>
      <c r="O36" s="7" t="s">
        <v>22</v>
      </c>
    </row>
    <row r="37" spans="1:15" ht="25.5" x14ac:dyDescent="0.25">
      <c r="A37" s="2">
        <v>36</v>
      </c>
      <c r="B37" s="3" t="s">
        <v>186</v>
      </c>
      <c r="C37" s="4">
        <v>2400000</v>
      </c>
      <c r="D37" s="5" t="s">
        <v>187</v>
      </c>
      <c r="E37" s="5" t="s">
        <v>25</v>
      </c>
      <c r="F37" s="3" t="s">
        <v>188</v>
      </c>
      <c r="G37" s="3" t="s">
        <v>189</v>
      </c>
      <c r="H37" s="2">
        <v>240</v>
      </c>
      <c r="I37" s="2">
        <v>3</v>
      </c>
      <c r="J37" s="2">
        <v>2</v>
      </c>
      <c r="K37" s="2">
        <v>4</v>
      </c>
      <c r="L37" s="2" t="s">
        <v>20</v>
      </c>
      <c r="M37" s="3" t="s">
        <v>190</v>
      </c>
      <c r="N37" s="6">
        <f t="shared" si="1"/>
        <v>10000</v>
      </c>
      <c r="O37" s="7" t="s">
        <v>22</v>
      </c>
    </row>
    <row r="38" spans="1:15" ht="25.5" x14ac:dyDescent="0.25">
      <c r="A38" s="2">
        <v>37</v>
      </c>
      <c r="B38" s="3" t="s">
        <v>191</v>
      </c>
      <c r="C38" s="4">
        <v>14401420</v>
      </c>
      <c r="D38" s="5" t="s">
        <v>192</v>
      </c>
      <c r="E38" s="5" t="s">
        <v>193</v>
      </c>
      <c r="F38" s="3" t="s">
        <v>71</v>
      </c>
      <c r="G38" s="3" t="s">
        <v>194</v>
      </c>
      <c r="H38" s="2">
        <v>1560</v>
      </c>
      <c r="I38" s="2">
        <v>4</v>
      </c>
      <c r="J38" s="2">
        <v>5</v>
      </c>
      <c r="K38" s="2">
        <v>4</v>
      </c>
      <c r="L38" s="2" t="s">
        <v>20</v>
      </c>
      <c r="M38" s="3" t="s">
        <v>195</v>
      </c>
      <c r="N38" s="6">
        <f t="shared" si="1"/>
        <v>9231.6794871794864</v>
      </c>
      <c r="O38" s="7" t="s">
        <v>22</v>
      </c>
    </row>
    <row r="39" spans="1:15" ht="25.5" x14ac:dyDescent="0.25">
      <c r="A39" s="2">
        <v>38</v>
      </c>
      <c r="B39" s="3" t="s">
        <v>196</v>
      </c>
      <c r="C39" s="4">
        <v>30000000</v>
      </c>
      <c r="D39" s="5" t="s">
        <v>197</v>
      </c>
      <c r="E39" s="5" t="s">
        <v>25</v>
      </c>
      <c r="F39" s="3" t="s">
        <v>198</v>
      </c>
      <c r="G39" s="3" t="s">
        <v>199</v>
      </c>
      <c r="H39" s="2">
        <v>425</v>
      </c>
      <c r="I39" s="2">
        <v>9</v>
      </c>
      <c r="J39" s="2">
        <v>7</v>
      </c>
      <c r="K39" s="2">
        <v>4</v>
      </c>
      <c r="L39" s="2" t="s">
        <v>20</v>
      </c>
      <c r="M39" s="3" t="s">
        <v>200</v>
      </c>
      <c r="N39" s="6">
        <f t="shared" si="1"/>
        <v>70588.23529411765</v>
      </c>
      <c r="O39" s="7" t="s">
        <v>22</v>
      </c>
    </row>
    <row r="40" spans="1:15" ht="25.5" x14ac:dyDescent="0.25">
      <c r="A40" s="2">
        <v>39</v>
      </c>
      <c r="B40" s="3" t="s">
        <v>201</v>
      </c>
      <c r="C40" s="4">
        <v>3700000</v>
      </c>
      <c r="D40" s="5" t="s">
        <v>202</v>
      </c>
      <c r="E40" s="5" t="s">
        <v>25</v>
      </c>
      <c r="F40" s="3" t="s">
        <v>188</v>
      </c>
      <c r="G40" s="3" t="s">
        <v>203</v>
      </c>
      <c r="H40" s="2">
        <v>404</v>
      </c>
      <c r="I40" s="2">
        <v>3</v>
      </c>
      <c r="J40" s="2">
        <v>3</v>
      </c>
      <c r="K40" s="2">
        <v>3</v>
      </c>
      <c r="L40" s="2" t="s">
        <v>20</v>
      </c>
      <c r="M40" s="3" t="s">
        <v>204</v>
      </c>
      <c r="N40" s="6">
        <f t="shared" si="1"/>
        <v>9158.4158415841575</v>
      </c>
      <c r="O40" s="7" t="s">
        <v>22</v>
      </c>
    </row>
    <row r="41" spans="1:15" ht="25.5" x14ac:dyDescent="0.25">
      <c r="A41" s="2">
        <v>40</v>
      </c>
      <c r="B41" s="3" t="s">
        <v>205</v>
      </c>
      <c r="C41" s="4">
        <v>2200000</v>
      </c>
      <c r="D41" s="5" t="s">
        <v>206</v>
      </c>
      <c r="E41" s="5" t="s">
        <v>25</v>
      </c>
      <c r="F41" s="3" t="s">
        <v>207</v>
      </c>
      <c r="G41" s="3" t="s">
        <v>208</v>
      </c>
      <c r="H41" s="2">
        <v>105</v>
      </c>
      <c r="I41" s="2">
        <v>2</v>
      </c>
      <c r="J41" s="2">
        <v>1</v>
      </c>
      <c r="K41" s="2">
        <v>2</v>
      </c>
      <c r="L41" s="2" t="s">
        <v>20</v>
      </c>
      <c r="M41" s="3" t="s">
        <v>209</v>
      </c>
      <c r="N41" s="6">
        <f t="shared" si="1"/>
        <v>20952.380952380954</v>
      </c>
      <c r="O41" s="7" t="s">
        <v>22</v>
      </c>
    </row>
    <row r="42" spans="1:15" ht="25.5" x14ac:dyDescent="0.25">
      <c r="A42" s="2">
        <v>41</v>
      </c>
      <c r="B42" s="3" t="s">
        <v>210</v>
      </c>
      <c r="C42" s="4">
        <v>3470000</v>
      </c>
      <c r="D42" s="5" t="s">
        <v>211</v>
      </c>
      <c r="E42" s="5" t="s">
        <v>25</v>
      </c>
      <c r="F42" s="3" t="s">
        <v>212</v>
      </c>
      <c r="G42" s="3" t="s">
        <v>213</v>
      </c>
      <c r="H42" s="2">
        <v>154</v>
      </c>
      <c r="I42" s="2">
        <v>3</v>
      </c>
      <c r="J42" s="2">
        <v>2</v>
      </c>
      <c r="K42" s="2">
        <v>3</v>
      </c>
      <c r="L42" s="2" t="s">
        <v>214</v>
      </c>
      <c r="M42" s="3" t="s">
        <v>215</v>
      </c>
      <c r="N42" s="6">
        <f t="shared" si="1"/>
        <v>22532.467532467534</v>
      </c>
      <c r="O42" s="7" t="s">
        <v>22</v>
      </c>
    </row>
    <row r="43" spans="1:15" ht="25.5" x14ac:dyDescent="0.25">
      <c r="A43" s="2">
        <v>42</v>
      </c>
      <c r="B43" s="3" t="s">
        <v>216</v>
      </c>
      <c r="C43" s="4">
        <v>43238020</v>
      </c>
      <c r="D43" s="5" t="s">
        <v>217</v>
      </c>
      <c r="E43" s="5" t="s">
        <v>218</v>
      </c>
      <c r="F43" s="3" t="s">
        <v>219</v>
      </c>
      <c r="G43" s="3" t="s">
        <v>220</v>
      </c>
      <c r="H43" s="2">
        <v>2173</v>
      </c>
      <c r="I43" s="2">
        <v>5</v>
      </c>
      <c r="J43" s="2">
        <v>5</v>
      </c>
      <c r="K43" s="2">
        <v>4</v>
      </c>
      <c r="L43" s="2" t="s">
        <v>20</v>
      </c>
      <c r="M43" s="3" t="s">
        <v>221</v>
      </c>
      <c r="N43" s="6">
        <f t="shared" si="1"/>
        <v>19897.846295444087</v>
      </c>
      <c r="O43" s="7" t="s">
        <v>22</v>
      </c>
    </row>
    <row r="44" spans="1:15" ht="25.5" x14ac:dyDescent="0.25">
      <c r="A44" s="2">
        <v>43</v>
      </c>
      <c r="B44" s="3" t="s">
        <v>222</v>
      </c>
      <c r="C44" s="4">
        <v>2616000</v>
      </c>
      <c r="D44" s="5" t="s">
        <v>143</v>
      </c>
      <c r="E44" s="5" t="s">
        <v>25</v>
      </c>
      <c r="F44" s="3" t="s">
        <v>42</v>
      </c>
      <c r="G44" s="3" t="s">
        <v>140</v>
      </c>
      <c r="H44" s="2">
        <v>139</v>
      </c>
      <c r="I44" s="2">
        <v>2</v>
      </c>
      <c r="J44" s="2">
        <v>2</v>
      </c>
      <c r="K44" s="2">
        <v>1</v>
      </c>
      <c r="L44" s="2" t="s">
        <v>20</v>
      </c>
      <c r="M44" s="3" t="s">
        <v>223</v>
      </c>
      <c r="N44" s="6">
        <f t="shared" si="1"/>
        <v>18820.143884892088</v>
      </c>
      <c r="O44" s="7" t="s">
        <v>22</v>
      </c>
    </row>
    <row r="45" spans="1:15" ht="25.5" x14ac:dyDescent="0.25">
      <c r="A45" s="2">
        <v>44</v>
      </c>
      <c r="B45" s="3" t="s">
        <v>224</v>
      </c>
      <c r="C45" s="4">
        <v>11000000</v>
      </c>
      <c r="D45" s="5" t="s">
        <v>225</v>
      </c>
      <c r="E45" s="5" t="s">
        <v>25</v>
      </c>
      <c r="F45" s="3" t="s">
        <v>226</v>
      </c>
      <c r="G45" s="3" t="s">
        <v>227</v>
      </c>
      <c r="H45" s="2">
        <v>406</v>
      </c>
      <c r="I45" s="2">
        <v>3</v>
      </c>
      <c r="J45" s="2">
        <v>4</v>
      </c>
      <c r="K45" s="2">
        <v>3</v>
      </c>
      <c r="L45" s="2" t="s">
        <v>20</v>
      </c>
      <c r="M45" s="3" t="s">
        <v>228</v>
      </c>
      <c r="N45" s="6">
        <f t="shared" si="1"/>
        <v>27093.596059113301</v>
      </c>
      <c r="O45" s="7" t="s">
        <v>22</v>
      </c>
    </row>
    <row r="46" spans="1:15" ht="25.5" x14ac:dyDescent="0.25">
      <c r="A46" s="2">
        <v>45</v>
      </c>
      <c r="B46" s="3" t="s">
        <v>229</v>
      </c>
      <c r="C46" s="4">
        <v>3990000</v>
      </c>
      <c r="D46" s="5" t="s">
        <v>230</v>
      </c>
      <c r="E46" s="5" t="s">
        <v>25</v>
      </c>
      <c r="F46" s="3" t="s">
        <v>231</v>
      </c>
      <c r="G46" s="3" t="s">
        <v>232</v>
      </c>
      <c r="H46" s="2">
        <v>924</v>
      </c>
      <c r="I46" s="2">
        <v>3</v>
      </c>
      <c r="J46" s="2">
        <v>2</v>
      </c>
      <c r="K46" s="2">
        <v>6</v>
      </c>
      <c r="L46" s="2" t="s">
        <v>20</v>
      </c>
      <c r="M46" s="3" t="s">
        <v>233</v>
      </c>
      <c r="N46" s="6">
        <f t="shared" si="1"/>
        <v>4318.181818181818</v>
      </c>
      <c r="O46" s="7" t="s">
        <v>22</v>
      </c>
    </row>
    <row r="47" spans="1:15" ht="25.5" x14ac:dyDescent="0.25">
      <c r="A47" s="2">
        <v>46</v>
      </c>
      <c r="B47" s="3" t="s">
        <v>234</v>
      </c>
      <c r="C47" s="4">
        <v>8790000</v>
      </c>
      <c r="D47" s="5" t="s">
        <v>235</v>
      </c>
      <c r="E47" s="5" t="s">
        <v>25</v>
      </c>
      <c r="F47" s="3" t="s">
        <v>236</v>
      </c>
      <c r="G47" s="3" t="s">
        <v>237</v>
      </c>
      <c r="H47" s="2">
        <v>204</v>
      </c>
      <c r="I47" s="2">
        <v>3</v>
      </c>
      <c r="J47" s="2">
        <v>2</v>
      </c>
      <c r="K47" s="2">
        <v>2</v>
      </c>
      <c r="L47" s="2" t="s">
        <v>20</v>
      </c>
      <c r="M47" s="3" t="s">
        <v>238</v>
      </c>
      <c r="N47" s="6">
        <f t="shared" si="1"/>
        <v>43088.23529411765</v>
      </c>
      <c r="O47" s="7" t="s">
        <v>22</v>
      </c>
    </row>
    <row r="48" spans="1:15" ht="25.5" x14ac:dyDescent="0.25">
      <c r="A48" s="2">
        <v>47</v>
      </c>
      <c r="B48" s="3" t="s">
        <v>239</v>
      </c>
      <c r="C48" s="4">
        <v>2390000</v>
      </c>
      <c r="D48" s="5" t="s">
        <v>240</v>
      </c>
      <c r="E48" s="5" t="s">
        <v>25</v>
      </c>
      <c r="F48" s="3" t="s">
        <v>47</v>
      </c>
      <c r="G48" s="3" t="s">
        <v>241</v>
      </c>
      <c r="H48" s="2">
        <v>200</v>
      </c>
      <c r="I48" s="2">
        <v>2</v>
      </c>
      <c r="J48" s="2">
        <v>1</v>
      </c>
      <c r="K48" s="2">
        <v>2</v>
      </c>
      <c r="L48" s="2" t="s">
        <v>20</v>
      </c>
      <c r="M48" s="3" t="s">
        <v>242</v>
      </c>
      <c r="N48" s="6">
        <f t="shared" si="1"/>
        <v>11950</v>
      </c>
      <c r="O48" s="7" t="s">
        <v>22</v>
      </c>
    </row>
    <row r="49" spans="1:15" ht="25.5" x14ac:dyDescent="0.25">
      <c r="A49" s="2">
        <v>48</v>
      </c>
      <c r="B49" s="3" t="s">
        <v>243</v>
      </c>
      <c r="C49" s="4">
        <v>13400000</v>
      </c>
      <c r="D49" s="5" t="s">
        <v>244</v>
      </c>
      <c r="E49" s="5" t="s">
        <v>25</v>
      </c>
      <c r="F49" s="3" t="s">
        <v>245</v>
      </c>
      <c r="G49" s="3" t="s">
        <v>246</v>
      </c>
      <c r="H49" s="2">
        <v>894</v>
      </c>
      <c r="I49" s="2">
        <v>3</v>
      </c>
      <c r="J49" s="2">
        <v>4</v>
      </c>
      <c r="K49" s="2">
        <v>6</v>
      </c>
      <c r="L49" s="2" t="s">
        <v>20</v>
      </c>
      <c r="M49" s="3" t="s">
        <v>247</v>
      </c>
      <c r="N49" s="6">
        <f t="shared" si="1"/>
        <v>14988.814317673377</v>
      </c>
      <c r="O49" s="7" t="s">
        <v>22</v>
      </c>
    </row>
    <row r="50" spans="1:15" ht="25.5" x14ac:dyDescent="0.25">
      <c r="A50" s="2">
        <v>49</v>
      </c>
      <c r="B50" s="3" t="s">
        <v>248</v>
      </c>
      <c r="C50" s="4">
        <v>39450999</v>
      </c>
      <c r="D50" s="5" t="s">
        <v>249</v>
      </c>
      <c r="E50" s="5" t="s">
        <v>25</v>
      </c>
      <c r="F50" s="3" t="s">
        <v>65</v>
      </c>
      <c r="G50" s="3" t="s">
        <v>66</v>
      </c>
      <c r="H50" s="2">
        <v>584</v>
      </c>
      <c r="I50" s="2">
        <v>6</v>
      </c>
      <c r="J50" s="2">
        <v>6</v>
      </c>
      <c r="K50" s="2">
        <v>6</v>
      </c>
      <c r="L50" s="2" t="s">
        <v>20</v>
      </c>
      <c r="M50" s="3" t="s">
        <v>250</v>
      </c>
      <c r="N50" s="6">
        <f t="shared" si="1"/>
        <v>67553.080479452052</v>
      </c>
      <c r="O50" s="7" t="s">
        <v>22</v>
      </c>
    </row>
    <row r="51" spans="1:15" ht="25.5" x14ac:dyDescent="0.25">
      <c r="A51" s="2">
        <v>50</v>
      </c>
      <c r="B51" s="3" t="s">
        <v>251</v>
      </c>
      <c r="C51" s="4">
        <v>1500000</v>
      </c>
      <c r="D51" s="5" t="s">
        <v>252</v>
      </c>
      <c r="E51" s="5" t="s">
        <v>25</v>
      </c>
      <c r="F51" s="3" t="s">
        <v>253</v>
      </c>
      <c r="G51" s="3" t="s">
        <v>254</v>
      </c>
      <c r="H51" s="2">
        <v>262</v>
      </c>
      <c r="I51" s="2">
        <v>2</v>
      </c>
      <c r="J51" s="2">
        <v>1</v>
      </c>
      <c r="K51" s="2">
        <v>0</v>
      </c>
      <c r="L51" s="2" t="s">
        <v>20</v>
      </c>
      <c r="M51" s="3" t="s">
        <v>255</v>
      </c>
      <c r="N51" s="6">
        <f t="shared" si="1"/>
        <v>5725.1908396946565</v>
      </c>
      <c r="O51" s="7" t="s">
        <v>22</v>
      </c>
    </row>
    <row r="52" spans="1:15" ht="25.5" x14ac:dyDescent="0.25">
      <c r="A52" s="2">
        <v>51</v>
      </c>
      <c r="B52" s="3" t="s">
        <v>256</v>
      </c>
      <c r="C52" s="4">
        <v>5590000</v>
      </c>
      <c r="D52" s="5" t="s">
        <v>257</v>
      </c>
      <c r="E52" s="5" t="s">
        <v>25</v>
      </c>
      <c r="F52" s="3" t="s">
        <v>116</v>
      </c>
      <c r="G52" s="3" t="s">
        <v>258</v>
      </c>
      <c r="H52" s="2">
        <v>228</v>
      </c>
      <c r="I52" s="2">
        <v>3</v>
      </c>
      <c r="J52" s="2">
        <v>2</v>
      </c>
      <c r="K52" s="2">
        <v>2</v>
      </c>
      <c r="L52" s="2" t="s">
        <v>20</v>
      </c>
      <c r="M52" s="3" t="s">
        <v>259</v>
      </c>
      <c r="N52" s="6">
        <f t="shared" si="1"/>
        <v>24517.543859649122</v>
      </c>
      <c r="O52" s="7" t="s">
        <v>22</v>
      </c>
    </row>
    <row r="53" spans="1:15" ht="25.5" x14ac:dyDescent="0.25">
      <c r="A53" s="2">
        <v>52</v>
      </c>
      <c r="B53" s="3" t="s">
        <v>260</v>
      </c>
      <c r="C53" s="4">
        <v>5800000</v>
      </c>
      <c r="D53" s="5" t="s">
        <v>105</v>
      </c>
      <c r="E53" s="5" t="s">
        <v>25</v>
      </c>
      <c r="F53" s="3" t="s">
        <v>71</v>
      </c>
      <c r="G53" s="3" t="s">
        <v>261</v>
      </c>
      <c r="H53" s="2">
        <v>234</v>
      </c>
      <c r="I53" s="2">
        <v>3</v>
      </c>
      <c r="J53" s="2">
        <v>2</v>
      </c>
      <c r="K53" s="2">
        <v>2</v>
      </c>
      <c r="L53" s="2" t="s">
        <v>20</v>
      </c>
      <c r="M53" s="3" t="s">
        <v>262</v>
      </c>
      <c r="N53" s="6">
        <f t="shared" si="1"/>
        <v>24786.324786324785</v>
      </c>
      <c r="O53" s="7" t="s">
        <v>22</v>
      </c>
    </row>
    <row r="54" spans="1:15" ht="25.5" x14ac:dyDescent="0.25">
      <c r="A54" s="2">
        <v>53</v>
      </c>
      <c r="B54" s="3" t="s">
        <v>263</v>
      </c>
      <c r="C54" s="4">
        <v>5500000</v>
      </c>
      <c r="D54" s="5" t="s">
        <v>264</v>
      </c>
      <c r="E54" s="5" t="s">
        <v>25</v>
      </c>
      <c r="F54" s="3" t="s">
        <v>265</v>
      </c>
      <c r="G54" s="3" t="s">
        <v>266</v>
      </c>
      <c r="H54" s="2">
        <v>261</v>
      </c>
      <c r="I54" s="2">
        <v>3</v>
      </c>
      <c r="J54" s="2">
        <v>2</v>
      </c>
      <c r="K54" s="2">
        <v>4</v>
      </c>
      <c r="L54" s="2" t="s">
        <v>267</v>
      </c>
      <c r="M54" s="3" t="s">
        <v>268</v>
      </c>
      <c r="N54" s="6">
        <f t="shared" si="1"/>
        <v>21072.796934865899</v>
      </c>
      <c r="O54" s="7" t="s">
        <v>22</v>
      </c>
    </row>
    <row r="55" spans="1:15" ht="25.5" x14ac:dyDescent="0.25">
      <c r="A55" s="2">
        <v>54</v>
      </c>
      <c r="B55" s="3" t="s">
        <v>269</v>
      </c>
      <c r="C55" s="4">
        <v>2700000</v>
      </c>
      <c r="D55" s="5" t="s">
        <v>124</v>
      </c>
      <c r="E55" s="5" t="s">
        <v>25</v>
      </c>
      <c r="F55" s="3" t="s">
        <v>270</v>
      </c>
      <c r="G55" s="3" t="s">
        <v>271</v>
      </c>
      <c r="H55" s="2">
        <v>115</v>
      </c>
      <c r="I55" s="2">
        <v>3</v>
      </c>
      <c r="J55" s="2">
        <v>2</v>
      </c>
      <c r="K55" s="2">
        <v>2</v>
      </c>
      <c r="L55" s="2" t="s">
        <v>272</v>
      </c>
      <c r="M55" s="3" t="s">
        <v>273</v>
      </c>
      <c r="N55" s="6">
        <f t="shared" si="1"/>
        <v>23478.260869565216</v>
      </c>
      <c r="O55" s="7" t="s">
        <v>22</v>
      </c>
    </row>
    <row r="56" spans="1:15" ht="25.5" x14ac:dyDescent="0.25">
      <c r="A56" s="2">
        <v>55</v>
      </c>
      <c r="B56" s="3" t="s">
        <v>274</v>
      </c>
      <c r="C56" s="4">
        <v>3799900</v>
      </c>
      <c r="D56" s="5" t="s">
        <v>275</v>
      </c>
      <c r="E56" s="5" t="s">
        <v>25</v>
      </c>
      <c r="F56" s="3" t="s">
        <v>106</v>
      </c>
      <c r="G56" s="3" t="s">
        <v>59</v>
      </c>
      <c r="H56" s="2">
        <v>156</v>
      </c>
      <c r="I56" s="2">
        <v>3</v>
      </c>
      <c r="J56" s="2">
        <v>3</v>
      </c>
      <c r="K56" s="2">
        <v>2</v>
      </c>
      <c r="L56" s="2" t="s">
        <v>108</v>
      </c>
      <c r="M56" s="3" t="s">
        <v>276</v>
      </c>
      <c r="N56" s="6">
        <f t="shared" si="1"/>
        <v>24358.333333333332</v>
      </c>
      <c r="O56" s="7" t="s">
        <v>22</v>
      </c>
    </row>
    <row r="57" spans="1:15" ht="25.5" x14ac:dyDescent="0.25">
      <c r="A57" s="2">
        <v>56</v>
      </c>
      <c r="B57" s="3" t="s">
        <v>277</v>
      </c>
      <c r="C57" s="4">
        <v>1450000</v>
      </c>
      <c r="D57" s="5" t="s">
        <v>278</v>
      </c>
      <c r="E57" s="5" t="s">
        <v>25</v>
      </c>
      <c r="F57" s="3" t="s">
        <v>279</v>
      </c>
      <c r="G57" s="3" t="s">
        <v>280</v>
      </c>
      <c r="H57" s="2">
        <v>140</v>
      </c>
      <c r="I57" s="2">
        <v>2</v>
      </c>
      <c r="J57" s="2">
        <v>1</v>
      </c>
      <c r="K57" s="2">
        <v>2</v>
      </c>
      <c r="L57" s="2" t="s">
        <v>20</v>
      </c>
      <c r="M57" s="3" t="s">
        <v>281</v>
      </c>
      <c r="N57" s="6">
        <f t="shared" si="1"/>
        <v>10357.142857142857</v>
      </c>
      <c r="O57" s="7" t="s">
        <v>22</v>
      </c>
    </row>
  </sheetData>
  <autoFilter ref="A1:O57" xr:uid="{00000000-0009-0000-0000-000000000000}"/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EB3E-525F-4E65-805F-3AFBA5ACC095}">
  <dimension ref="A1:L68"/>
  <sheetViews>
    <sheetView topLeftCell="A10" workbookViewId="0">
      <selection activeCell="D75" sqref="D75"/>
    </sheetView>
  </sheetViews>
  <sheetFormatPr baseColWidth="10" defaultColWidth="9.140625" defaultRowHeight="15" x14ac:dyDescent="0.25"/>
  <cols>
    <col min="1" max="1" width="26" customWidth="1"/>
    <col min="2" max="2" width="28" customWidth="1"/>
    <col min="3" max="3" width="30" customWidth="1"/>
    <col min="4" max="5" width="34" customWidth="1"/>
    <col min="6" max="6" width="16" customWidth="1"/>
    <col min="7" max="7" width="22" customWidth="1"/>
    <col min="8" max="8" width="9" customWidth="1"/>
    <col min="9" max="9" width="10" customWidth="1"/>
    <col min="10" max="11" width="14" customWidth="1"/>
    <col min="12" max="12" width="20" customWidth="1"/>
  </cols>
  <sheetData>
    <row r="1" spans="1:12" ht="24" customHeight="1" x14ac:dyDescent="0.3">
      <c r="A1" s="8" t="s">
        <v>282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0.100000000000001" customHeight="1" x14ac:dyDescent="0.25">
      <c r="A2" s="10" t="s">
        <v>283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30" x14ac:dyDescent="0.25">
      <c r="A4" s="11" t="s">
        <v>284</v>
      </c>
      <c r="B4" s="11" t="s">
        <v>285</v>
      </c>
      <c r="C4" s="11" t="s">
        <v>286</v>
      </c>
      <c r="D4" s="11" t="s">
        <v>287</v>
      </c>
      <c r="E4" s="11" t="s">
        <v>288</v>
      </c>
      <c r="F4" s="11" t="s">
        <v>289</v>
      </c>
      <c r="G4" s="11" t="s">
        <v>290</v>
      </c>
      <c r="H4" s="11" t="s">
        <v>291</v>
      </c>
      <c r="I4" s="11" t="s">
        <v>292</v>
      </c>
      <c r="J4" s="11" t="s">
        <v>293</v>
      </c>
      <c r="K4" s="11" t="s">
        <v>294</v>
      </c>
      <c r="L4" s="11" t="s">
        <v>295</v>
      </c>
    </row>
    <row r="5" spans="1:12" ht="38.25" x14ac:dyDescent="0.25">
      <c r="A5" s="12" t="s">
        <v>296</v>
      </c>
      <c r="B5" s="12" t="s">
        <v>297</v>
      </c>
      <c r="C5" s="13" t="s">
        <v>298</v>
      </c>
      <c r="D5" s="13" t="s">
        <v>299</v>
      </c>
      <c r="E5" s="13" t="s">
        <v>300</v>
      </c>
      <c r="F5" s="14" t="s">
        <v>298</v>
      </c>
      <c r="G5" s="14" t="s">
        <v>298</v>
      </c>
      <c r="H5" s="15" t="s">
        <v>298</v>
      </c>
      <c r="I5" s="14" t="s">
        <v>298</v>
      </c>
      <c r="J5" s="14" t="s">
        <v>298</v>
      </c>
      <c r="K5" s="16" t="s">
        <v>301</v>
      </c>
      <c r="L5" s="17" t="s">
        <v>302</v>
      </c>
    </row>
    <row r="6" spans="1:12" ht="38.25" x14ac:dyDescent="0.25">
      <c r="A6" s="12" t="s">
        <v>296</v>
      </c>
      <c r="B6" s="12" t="s">
        <v>303</v>
      </c>
      <c r="C6" s="13" t="s">
        <v>304</v>
      </c>
      <c r="D6" s="13" t="s">
        <v>305</v>
      </c>
      <c r="E6" s="13" t="s">
        <v>306</v>
      </c>
      <c r="F6" s="14" t="s">
        <v>298</v>
      </c>
      <c r="G6" s="13" t="s">
        <v>307</v>
      </c>
      <c r="H6" s="18" t="s">
        <v>308</v>
      </c>
      <c r="I6" s="13" t="s">
        <v>308</v>
      </c>
      <c r="J6" s="14" t="s">
        <v>298</v>
      </c>
      <c r="K6" s="16" t="s">
        <v>301</v>
      </c>
      <c r="L6" s="17" t="s">
        <v>309</v>
      </c>
    </row>
    <row r="7" spans="1:12" ht="38.25" x14ac:dyDescent="0.25">
      <c r="A7" s="12" t="s">
        <v>296</v>
      </c>
      <c r="B7" s="12" t="s">
        <v>303</v>
      </c>
      <c r="C7" s="13" t="s">
        <v>310</v>
      </c>
      <c r="D7" s="14" t="s">
        <v>298</v>
      </c>
      <c r="E7" s="13" t="s">
        <v>311</v>
      </c>
      <c r="F7" s="14" t="s">
        <v>298</v>
      </c>
      <c r="G7" s="14" t="s">
        <v>298</v>
      </c>
      <c r="H7" s="15" t="s">
        <v>298</v>
      </c>
      <c r="I7" s="14" t="s">
        <v>298</v>
      </c>
      <c r="J7" s="14" t="s">
        <v>298</v>
      </c>
      <c r="K7" s="16" t="s">
        <v>301</v>
      </c>
      <c r="L7" s="17" t="s">
        <v>312</v>
      </c>
    </row>
    <row r="8" spans="1:12" ht="25.5" x14ac:dyDescent="0.25">
      <c r="A8" s="12" t="s">
        <v>313</v>
      </c>
      <c r="B8" s="12" t="s">
        <v>314</v>
      </c>
      <c r="C8" s="13" t="s">
        <v>315</v>
      </c>
      <c r="D8" s="13" t="s">
        <v>316</v>
      </c>
      <c r="E8" s="13" t="s">
        <v>317</v>
      </c>
      <c r="F8" s="14" t="s">
        <v>298</v>
      </c>
      <c r="G8" s="13" t="s">
        <v>318</v>
      </c>
      <c r="H8" s="18" t="s">
        <v>319</v>
      </c>
      <c r="I8" s="13" t="s">
        <v>319</v>
      </c>
      <c r="J8" s="13" t="s">
        <v>320</v>
      </c>
      <c r="K8" s="16" t="s">
        <v>301</v>
      </c>
      <c r="L8" s="17" t="s">
        <v>321</v>
      </c>
    </row>
    <row r="9" spans="1:12" ht="25.5" x14ac:dyDescent="0.25">
      <c r="A9" s="12" t="s">
        <v>313</v>
      </c>
      <c r="B9" s="12" t="s">
        <v>314</v>
      </c>
      <c r="C9" s="13" t="s">
        <v>322</v>
      </c>
      <c r="D9" s="13" t="s">
        <v>323</v>
      </c>
      <c r="E9" s="13" t="s">
        <v>317</v>
      </c>
      <c r="F9" s="13" t="s">
        <v>324</v>
      </c>
      <c r="G9" s="13" t="s">
        <v>325</v>
      </c>
      <c r="H9" s="18" t="s">
        <v>326</v>
      </c>
      <c r="I9" s="13" t="s">
        <v>308</v>
      </c>
      <c r="J9" s="13" t="s">
        <v>308</v>
      </c>
      <c r="K9" s="16" t="s">
        <v>301</v>
      </c>
      <c r="L9" s="17" t="s">
        <v>327</v>
      </c>
    </row>
    <row r="10" spans="1:12" ht="38.25" x14ac:dyDescent="0.25">
      <c r="A10" s="12" t="s">
        <v>313</v>
      </c>
      <c r="B10" s="12" t="s">
        <v>314</v>
      </c>
      <c r="C10" s="13" t="s">
        <v>328</v>
      </c>
      <c r="D10" s="14" t="s">
        <v>298</v>
      </c>
      <c r="E10" s="13" t="s">
        <v>317</v>
      </c>
      <c r="F10" s="14" t="s">
        <v>298</v>
      </c>
      <c r="G10" s="14" t="s">
        <v>298</v>
      </c>
      <c r="H10" s="15" t="s">
        <v>298</v>
      </c>
      <c r="I10" s="14" t="s">
        <v>298</v>
      </c>
      <c r="J10" s="14" t="s">
        <v>298</v>
      </c>
      <c r="K10" s="16" t="s">
        <v>301</v>
      </c>
      <c r="L10" s="17" t="s">
        <v>327</v>
      </c>
    </row>
    <row r="11" spans="1:12" ht="51" x14ac:dyDescent="0.25">
      <c r="A11" s="12" t="s">
        <v>313</v>
      </c>
      <c r="B11" s="12" t="s">
        <v>329</v>
      </c>
      <c r="C11" s="13" t="s">
        <v>330</v>
      </c>
      <c r="D11" s="13" t="s">
        <v>331</v>
      </c>
      <c r="E11" s="13" t="s">
        <v>332</v>
      </c>
      <c r="F11" s="13" t="s">
        <v>333</v>
      </c>
      <c r="G11" s="13" t="s">
        <v>334</v>
      </c>
      <c r="H11" s="18" t="s">
        <v>319</v>
      </c>
      <c r="I11" s="13" t="s">
        <v>335</v>
      </c>
      <c r="J11" s="14" t="s">
        <v>298</v>
      </c>
      <c r="K11" s="16" t="s">
        <v>301</v>
      </c>
      <c r="L11" s="17" t="s">
        <v>336</v>
      </c>
    </row>
    <row r="12" spans="1:12" ht="25.5" x14ac:dyDescent="0.25">
      <c r="A12" s="12" t="s">
        <v>313</v>
      </c>
      <c r="B12" s="12" t="s">
        <v>329</v>
      </c>
      <c r="C12" s="13" t="s">
        <v>337</v>
      </c>
      <c r="D12" s="13" t="s">
        <v>338</v>
      </c>
      <c r="E12" s="13" t="s">
        <v>332</v>
      </c>
      <c r="F12" s="13" t="s">
        <v>339</v>
      </c>
      <c r="G12" s="13" t="s">
        <v>340</v>
      </c>
      <c r="H12" s="18" t="s">
        <v>319</v>
      </c>
      <c r="I12" s="13" t="s">
        <v>319</v>
      </c>
      <c r="J12" s="13" t="s">
        <v>341</v>
      </c>
      <c r="K12" s="16" t="s">
        <v>301</v>
      </c>
      <c r="L12" s="17" t="s">
        <v>336</v>
      </c>
    </row>
    <row r="13" spans="1:12" ht="25.5" x14ac:dyDescent="0.25">
      <c r="A13" s="12" t="s">
        <v>313</v>
      </c>
      <c r="B13" s="12" t="s">
        <v>329</v>
      </c>
      <c r="C13" s="13" t="s">
        <v>342</v>
      </c>
      <c r="D13" s="13" t="s">
        <v>343</v>
      </c>
      <c r="E13" s="13" t="s">
        <v>332</v>
      </c>
      <c r="F13" s="13" t="s">
        <v>344</v>
      </c>
      <c r="G13" s="13" t="s">
        <v>345</v>
      </c>
      <c r="H13" s="18" t="s">
        <v>308</v>
      </c>
      <c r="I13" s="13" t="s">
        <v>308</v>
      </c>
      <c r="J13" s="14" t="s">
        <v>298</v>
      </c>
      <c r="K13" s="16" t="s">
        <v>301</v>
      </c>
      <c r="L13" s="17" t="s">
        <v>321</v>
      </c>
    </row>
    <row r="14" spans="1:12" ht="38.25" x14ac:dyDescent="0.25">
      <c r="A14" s="12" t="s">
        <v>313</v>
      </c>
      <c r="B14" s="12" t="s">
        <v>346</v>
      </c>
      <c r="C14" s="13" t="s">
        <v>347</v>
      </c>
      <c r="D14" s="13" t="s">
        <v>348</v>
      </c>
      <c r="E14" s="13" t="s">
        <v>349</v>
      </c>
      <c r="F14" s="13" t="s">
        <v>350</v>
      </c>
      <c r="G14" s="13" t="s">
        <v>351</v>
      </c>
      <c r="H14" s="18" t="s">
        <v>326</v>
      </c>
      <c r="I14" s="13" t="s">
        <v>308</v>
      </c>
      <c r="J14" s="13" t="s">
        <v>319</v>
      </c>
      <c r="K14" s="16" t="s">
        <v>301</v>
      </c>
      <c r="L14" s="17" t="s">
        <v>352</v>
      </c>
    </row>
    <row r="15" spans="1:12" ht="25.5" x14ac:dyDescent="0.25">
      <c r="A15" s="12" t="s">
        <v>313</v>
      </c>
      <c r="B15" s="12" t="s">
        <v>346</v>
      </c>
      <c r="C15" s="13" t="s">
        <v>353</v>
      </c>
      <c r="D15" s="14" t="s">
        <v>298</v>
      </c>
      <c r="E15" s="13" t="s">
        <v>349</v>
      </c>
      <c r="F15" s="13" t="s">
        <v>354</v>
      </c>
      <c r="G15" s="13" t="s">
        <v>355</v>
      </c>
      <c r="H15" s="18" t="s">
        <v>356</v>
      </c>
      <c r="I15" s="13" t="s">
        <v>308</v>
      </c>
      <c r="J15" s="13" t="s">
        <v>319</v>
      </c>
      <c r="K15" s="16" t="s">
        <v>301</v>
      </c>
      <c r="L15" s="17" t="s">
        <v>357</v>
      </c>
    </row>
    <row r="16" spans="1:12" ht="25.5" x14ac:dyDescent="0.25">
      <c r="A16" s="12" t="s">
        <v>313</v>
      </c>
      <c r="B16" s="12" t="s">
        <v>346</v>
      </c>
      <c r="C16" s="13" t="s">
        <v>358</v>
      </c>
      <c r="D16" s="14" t="s">
        <v>298</v>
      </c>
      <c r="E16" s="13" t="s">
        <v>349</v>
      </c>
      <c r="F16" s="14" t="s">
        <v>298</v>
      </c>
      <c r="G16" s="14" t="s">
        <v>298</v>
      </c>
      <c r="H16" s="18" t="s">
        <v>326</v>
      </c>
      <c r="I16" s="13" t="s">
        <v>308</v>
      </c>
      <c r="J16" s="14" t="s">
        <v>298</v>
      </c>
      <c r="K16" s="16" t="s">
        <v>301</v>
      </c>
      <c r="L16" s="17" t="s">
        <v>357</v>
      </c>
    </row>
    <row r="17" spans="1:12" ht="25.5" x14ac:dyDescent="0.25">
      <c r="A17" s="12" t="s">
        <v>313</v>
      </c>
      <c r="B17" s="12" t="s">
        <v>359</v>
      </c>
      <c r="C17" s="13" t="s">
        <v>360</v>
      </c>
      <c r="D17" s="13" t="s">
        <v>361</v>
      </c>
      <c r="E17" s="13" t="s">
        <v>362</v>
      </c>
      <c r="F17" s="14" t="s">
        <v>298</v>
      </c>
      <c r="G17" s="13" t="s">
        <v>363</v>
      </c>
      <c r="H17" s="18" t="s">
        <v>326</v>
      </c>
      <c r="I17" s="13" t="s">
        <v>319</v>
      </c>
      <c r="J17" s="14" t="s">
        <v>298</v>
      </c>
      <c r="K17" s="16" t="s">
        <v>301</v>
      </c>
      <c r="L17" s="17" t="s">
        <v>321</v>
      </c>
    </row>
    <row r="18" spans="1:12" ht="51" x14ac:dyDescent="0.25">
      <c r="A18" s="12" t="s">
        <v>313</v>
      </c>
      <c r="B18" s="12" t="s">
        <v>359</v>
      </c>
      <c r="C18" s="13" t="s">
        <v>364</v>
      </c>
      <c r="D18" s="13" t="s">
        <v>365</v>
      </c>
      <c r="E18" s="13" t="s">
        <v>366</v>
      </c>
      <c r="F18" s="13" t="s">
        <v>367</v>
      </c>
      <c r="G18" s="13" t="s">
        <v>368</v>
      </c>
      <c r="H18" s="18" t="s">
        <v>369</v>
      </c>
      <c r="I18" s="13" t="s">
        <v>308</v>
      </c>
      <c r="J18" s="13" t="s">
        <v>319</v>
      </c>
      <c r="K18" s="16" t="s">
        <v>301</v>
      </c>
      <c r="L18" s="17" t="s">
        <v>336</v>
      </c>
    </row>
    <row r="19" spans="1:12" ht="25.5" x14ac:dyDescent="0.25">
      <c r="A19" s="12" t="s">
        <v>313</v>
      </c>
      <c r="B19" s="12" t="s">
        <v>370</v>
      </c>
      <c r="C19" s="13" t="s">
        <v>371</v>
      </c>
      <c r="D19" s="13" t="s">
        <v>372</v>
      </c>
      <c r="E19" s="13" t="s">
        <v>373</v>
      </c>
      <c r="F19" s="13" t="s">
        <v>374</v>
      </c>
      <c r="G19" s="13" t="s">
        <v>375</v>
      </c>
      <c r="H19" s="18" t="s">
        <v>326</v>
      </c>
      <c r="I19" s="13" t="s">
        <v>308</v>
      </c>
      <c r="J19" s="14" t="s">
        <v>298</v>
      </c>
      <c r="K19" s="16" t="s">
        <v>301</v>
      </c>
      <c r="L19" s="17" t="s">
        <v>321</v>
      </c>
    </row>
    <row r="20" spans="1:12" ht="89.25" x14ac:dyDescent="0.25">
      <c r="A20" s="12" t="s">
        <v>313</v>
      </c>
      <c r="B20" s="12" t="s">
        <v>370</v>
      </c>
      <c r="C20" s="13" t="s">
        <v>376</v>
      </c>
      <c r="D20" s="14" t="s">
        <v>298</v>
      </c>
      <c r="E20" s="13" t="s">
        <v>373</v>
      </c>
      <c r="F20" s="14" t="s">
        <v>298</v>
      </c>
      <c r="G20" s="13" t="s">
        <v>377</v>
      </c>
      <c r="H20" s="18" t="s">
        <v>378</v>
      </c>
      <c r="I20" s="13" t="s">
        <v>308</v>
      </c>
      <c r="J20" s="14" t="s">
        <v>298</v>
      </c>
      <c r="K20" s="16" t="s">
        <v>301</v>
      </c>
      <c r="L20" s="17" t="s">
        <v>352</v>
      </c>
    </row>
    <row r="21" spans="1:12" ht="25.5" x14ac:dyDescent="0.25">
      <c r="A21" s="12" t="s">
        <v>313</v>
      </c>
      <c r="B21" s="12" t="s">
        <v>379</v>
      </c>
      <c r="C21" s="13" t="s">
        <v>380</v>
      </c>
      <c r="D21" s="13" t="s">
        <v>381</v>
      </c>
      <c r="E21" s="13" t="s">
        <v>382</v>
      </c>
      <c r="F21" s="13" t="s">
        <v>383</v>
      </c>
      <c r="G21" s="13" t="s">
        <v>384</v>
      </c>
      <c r="H21" s="18" t="s">
        <v>356</v>
      </c>
      <c r="I21" s="13" t="s">
        <v>308</v>
      </c>
      <c r="J21" s="14" t="s">
        <v>298</v>
      </c>
      <c r="K21" s="16" t="s">
        <v>301</v>
      </c>
      <c r="L21" s="17" t="s">
        <v>352</v>
      </c>
    </row>
    <row r="22" spans="1:12" ht="38.25" x14ac:dyDescent="0.25">
      <c r="A22" s="12" t="s">
        <v>313</v>
      </c>
      <c r="B22" s="12" t="s">
        <v>379</v>
      </c>
      <c r="C22" s="13" t="s">
        <v>385</v>
      </c>
      <c r="D22" s="13" t="s">
        <v>386</v>
      </c>
      <c r="E22" s="13" t="s">
        <v>387</v>
      </c>
      <c r="F22" s="13" t="s">
        <v>388</v>
      </c>
      <c r="G22" s="13" t="s">
        <v>389</v>
      </c>
      <c r="H22" s="18" t="s">
        <v>319</v>
      </c>
      <c r="I22" s="13" t="s">
        <v>390</v>
      </c>
      <c r="J22" s="14" t="s">
        <v>298</v>
      </c>
      <c r="K22" s="16" t="s">
        <v>301</v>
      </c>
      <c r="L22" s="17" t="s">
        <v>391</v>
      </c>
    </row>
    <row r="23" spans="1:12" ht="63.75" x14ac:dyDescent="0.25">
      <c r="A23" s="12" t="s">
        <v>313</v>
      </c>
      <c r="B23" s="12" t="s">
        <v>379</v>
      </c>
      <c r="C23" s="13" t="s">
        <v>392</v>
      </c>
      <c r="D23" s="14" t="s">
        <v>298</v>
      </c>
      <c r="E23" s="13" t="s">
        <v>382</v>
      </c>
      <c r="F23" s="13" t="s">
        <v>393</v>
      </c>
      <c r="G23" s="13" t="s">
        <v>394</v>
      </c>
      <c r="H23" s="18" t="s">
        <v>319</v>
      </c>
      <c r="I23" s="13" t="s">
        <v>395</v>
      </c>
      <c r="J23" s="14" t="s">
        <v>298</v>
      </c>
      <c r="K23" s="16" t="s">
        <v>301</v>
      </c>
      <c r="L23" s="17" t="s">
        <v>336</v>
      </c>
    </row>
    <row r="24" spans="1:12" ht="51" x14ac:dyDescent="0.25">
      <c r="A24" s="12" t="s">
        <v>313</v>
      </c>
      <c r="B24" s="12" t="s">
        <v>396</v>
      </c>
      <c r="C24" s="13" t="s">
        <v>397</v>
      </c>
      <c r="D24" s="13" t="s">
        <v>398</v>
      </c>
      <c r="E24" s="13" t="s">
        <v>399</v>
      </c>
      <c r="F24" s="13" t="s">
        <v>400</v>
      </c>
      <c r="G24" s="13" t="s">
        <v>401</v>
      </c>
      <c r="H24" s="18" t="s">
        <v>326</v>
      </c>
      <c r="I24" s="13" t="s">
        <v>402</v>
      </c>
      <c r="J24" s="14" t="s">
        <v>298</v>
      </c>
      <c r="K24" s="16" t="s">
        <v>301</v>
      </c>
      <c r="L24" s="17" t="s">
        <v>352</v>
      </c>
    </row>
    <row r="25" spans="1:12" ht="25.5" x14ac:dyDescent="0.25">
      <c r="A25" s="12" t="s">
        <v>313</v>
      </c>
      <c r="B25" s="12" t="s">
        <v>396</v>
      </c>
      <c r="C25" s="13" t="s">
        <v>403</v>
      </c>
      <c r="D25" s="14" t="s">
        <v>298</v>
      </c>
      <c r="E25" s="13" t="s">
        <v>399</v>
      </c>
      <c r="F25" s="13" t="s">
        <v>404</v>
      </c>
      <c r="G25" s="13" t="s">
        <v>405</v>
      </c>
      <c r="H25" s="18" t="s">
        <v>308</v>
      </c>
      <c r="I25" s="13" t="s">
        <v>308</v>
      </c>
      <c r="J25" s="14" t="s">
        <v>298</v>
      </c>
      <c r="K25" s="16" t="s">
        <v>301</v>
      </c>
      <c r="L25" s="17" t="s">
        <v>406</v>
      </c>
    </row>
    <row r="26" spans="1:12" ht="25.5" x14ac:dyDescent="0.25">
      <c r="A26" s="12" t="s">
        <v>313</v>
      </c>
      <c r="B26" s="12" t="s">
        <v>396</v>
      </c>
      <c r="C26" s="13" t="s">
        <v>407</v>
      </c>
      <c r="D26" s="14" t="s">
        <v>298</v>
      </c>
      <c r="E26" s="13" t="s">
        <v>399</v>
      </c>
      <c r="F26" s="13" t="s">
        <v>374</v>
      </c>
      <c r="G26" s="13" t="s">
        <v>408</v>
      </c>
      <c r="H26" s="18" t="s">
        <v>326</v>
      </c>
      <c r="I26" s="13" t="s">
        <v>319</v>
      </c>
      <c r="J26" s="13" t="s">
        <v>319</v>
      </c>
      <c r="K26" s="16" t="s">
        <v>301</v>
      </c>
      <c r="L26" s="17" t="s">
        <v>409</v>
      </c>
    </row>
    <row r="27" spans="1:12" ht="25.5" x14ac:dyDescent="0.25">
      <c r="A27" s="12" t="s">
        <v>313</v>
      </c>
      <c r="B27" s="12" t="s">
        <v>410</v>
      </c>
      <c r="C27" s="13" t="s">
        <v>411</v>
      </c>
      <c r="D27" s="13" t="s">
        <v>412</v>
      </c>
      <c r="E27" s="13" t="s">
        <v>413</v>
      </c>
      <c r="F27" s="14" t="s">
        <v>298</v>
      </c>
      <c r="G27" s="13" t="s">
        <v>414</v>
      </c>
      <c r="H27" s="18" t="s">
        <v>415</v>
      </c>
      <c r="I27" s="13" t="s">
        <v>319</v>
      </c>
      <c r="J27" s="14" t="s">
        <v>298</v>
      </c>
      <c r="K27" s="16" t="s">
        <v>301</v>
      </c>
      <c r="L27" s="17" t="s">
        <v>409</v>
      </c>
    </row>
    <row r="28" spans="1:12" ht="25.5" x14ac:dyDescent="0.25">
      <c r="A28" s="12" t="s">
        <v>313</v>
      </c>
      <c r="B28" s="12" t="s">
        <v>410</v>
      </c>
      <c r="C28" s="13" t="s">
        <v>416</v>
      </c>
      <c r="D28" s="13" t="s">
        <v>417</v>
      </c>
      <c r="E28" s="13" t="s">
        <v>413</v>
      </c>
      <c r="F28" s="14" t="s">
        <v>298</v>
      </c>
      <c r="G28" s="13" t="s">
        <v>418</v>
      </c>
      <c r="H28" s="18" t="s">
        <v>415</v>
      </c>
      <c r="I28" s="13" t="s">
        <v>308</v>
      </c>
      <c r="J28" s="14" t="s">
        <v>298</v>
      </c>
      <c r="K28" s="16" t="s">
        <v>301</v>
      </c>
      <c r="L28" s="17" t="s">
        <v>409</v>
      </c>
    </row>
    <row r="29" spans="1:12" ht="25.5" x14ac:dyDescent="0.25">
      <c r="A29" s="12" t="s">
        <v>313</v>
      </c>
      <c r="B29" s="12" t="s">
        <v>410</v>
      </c>
      <c r="C29" s="13" t="s">
        <v>419</v>
      </c>
      <c r="D29" s="13" t="s">
        <v>420</v>
      </c>
      <c r="E29" s="13" t="s">
        <v>413</v>
      </c>
      <c r="F29" s="14" t="s">
        <v>298</v>
      </c>
      <c r="G29" s="13" t="s">
        <v>421</v>
      </c>
      <c r="H29" s="18" t="s">
        <v>415</v>
      </c>
      <c r="I29" s="13" t="s">
        <v>319</v>
      </c>
      <c r="J29" s="14" t="s">
        <v>298</v>
      </c>
      <c r="K29" s="16" t="s">
        <v>301</v>
      </c>
      <c r="L29" s="17" t="s">
        <v>409</v>
      </c>
    </row>
    <row r="30" spans="1:12" ht="38.25" x14ac:dyDescent="0.25">
      <c r="A30" s="12" t="s">
        <v>313</v>
      </c>
      <c r="B30" s="12" t="s">
        <v>422</v>
      </c>
      <c r="C30" s="13" t="s">
        <v>423</v>
      </c>
      <c r="D30" s="13" t="s">
        <v>424</v>
      </c>
      <c r="E30" s="13" t="s">
        <v>425</v>
      </c>
      <c r="F30" s="14" t="s">
        <v>298</v>
      </c>
      <c r="G30" s="14" t="s">
        <v>298</v>
      </c>
      <c r="H30" s="15" t="s">
        <v>298</v>
      </c>
      <c r="I30" s="14" t="s">
        <v>298</v>
      </c>
      <c r="J30" s="14" t="s">
        <v>298</v>
      </c>
      <c r="K30" s="16" t="s">
        <v>301</v>
      </c>
      <c r="L30" s="17" t="s">
        <v>352</v>
      </c>
    </row>
    <row r="31" spans="1:12" ht="25.5" x14ac:dyDescent="0.25">
      <c r="A31" s="12" t="s">
        <v>313</v>
      </c>
      <c r="B31" s="12" t="s">
        <v>422</v>
      </c>
      <c r="C31" s="13" t="s">
        <v>426</v>
      </c>
      <c r="D31" s="13" t="s">
        <v>427</v>
      </c>
      <c r="E31" s="13" t="s">
        <v>428</v>
      </c>
      <c r="F31" s="13" t="s">
        <v>429</v>
      </c>
      <c r="G31" s="13" t="s">
        <v>430</v>
      </c>
      <c r="H31" s="18" t="s">
        <v>326</v>
      </c>
      <c r="I31" s="13" t="s">
        <v>308</v>
      </c>
      <c r="J31" s="14" t="s">
        <v>298</v>
      </c>
      <c r="K31" s="16" t="s">
        <v>301</v>
      </c>
      <c r="L31" s="17" t="s">
        <v>431</v>
      </c>
    </row>
    <row r="32" spans="1:12" ht="51" x14ac:dyDescent="0.25">
      <c r="A32" s="12" t="s">
        <v>313</v>
      </c>
      <c r="B32" s="12" t="s">
        <v>432</v>
      </c>
      <c r="C32" s="13" t="s">
        <v>433</v>
      </c>
      <c r="D32" s="14" t="s">
        <v>298</v>
      </c>
      <c r="E32" s="13" t="s">
        <v>434</v>
      </c>
      <c r="F32" s="13" t="s">
        <v>435</v>
      </c>
      <c r="G32" s="13" t="s">
        <v>436</v>
      </c>
      <c r="H32" s="18" t="s">
        <v>437</v>
      </c>
      <c r="I32" s="13" t="s">
        <v>308</v>
      </c>
      <c r="J32" s="13" t="s">
        <v>438</v>
      </c>
      <c r="K32" s="16" t="s">
        <v>301</v>
      </c>
      <c r="L32" s="17" t="s">
        <v>336</v>
      </c>
    </row>
    <row r="33" spans="1:12" ht="25.5" x14ac:dyDescent="0.25">
      <c r="A33" s="12" t="s">
        <v>313</v>
      </c>
      <c r="B33" s="12" t="s">
        <v>432</v>
      </c>
      <c r="C33" s="13" t="s">
        <v>439</v>
      </c>
      <c r="D33" s="14" t="s">
        <v>298</v>
      </c>
      <c r="E33" s="13" t="s">
        <v>440</v>
      </c>
      <c r="F33" s="13" t="s">
        <v>441</v>
      </c>
      <c r="G33" s="13" t="s">
        <v>442</v>
      </c>
      <c r="H33" s="18" t="s">
        <v>326</v>
      </c>
      <c r="I33" s="13" t="s">
        <v>308</v>
      </c>
      <c r="J33" s="14" t="s">
        <v>298</v>
      </c>
      <c r="K33" s="16" t="s">
        <v>301</v>
      </c>
      <c r="L33" s="17" t="s">
        <v>443</v>
      </c>
    </row>
    <row r="34" spans="1:12" ht="51" x14ac:dyDescent="0.25">
      <c r="A34" s="12" t="s">
        <v>313</v>
      </c>
      <c r="B34" s="12" t="s">
        <v>432</v>
      </c>
      <c r="C34" s="13" t="s">
        <v>444</v>
      </c>
      <c r="D34" s="14" t="s">
        <v>298</v>
      </c>
      <c r="E34" s="13" t="s">
        <v>440</v>
      </c>
      <c r="F34" s="14" t="s">
        <v>298</v>
      </c>
      <c r="G34" s="13" t="s">
        <v>445</v>
      </c>
      <c r="H34" s="18" t="s">
        <v>446</v>
      </c>
      <c r="I34" s="13" t="s">
        <v>319</v>
      </c>
      <c r="J34" s="14" t="s">
        <v>298</v>
      </c>
      <c r="K34" s="16" t="s">
        <v>301</v>
      </c>
      <c r="L34" s="17" t="s">
        <v>443</v>
      </c>
    </row>
    <row r="35" spans="1:12" ht="25.5" x14ac:dyDescent="0.25">
      <c r="A35" s="12" t="s">
        <v>313</v>
      </c>
      <c r="B35" s="12" t="s">
        <v>432</v>
      </c>
      <c r="C35" s="13" t="s">
        <v>447</v>
      </c>
      <c r="D35" s="14" t="s">
        <v>298</v>
      </c>
      <c r="E35" s="13" t="s">
        <v>440</v>
      </c>
      <c r="F35" s="14" t="s">
        <v>298</v>
      </c>
      <c r="G35" s="13" t="s">
        <v>448</v>
      </c>
      <c r="H35" s="18" t="s">
        <v>326</v>
      </c>
      <c r="I35" s="13" t="s">
        <v>319</v>
      </c>
      <c r="J35" s="13" t="s">
        <v>319</v>
      </c>
      <c r="K35" s="16" t="s">
        <v>301</v>
      </c>
      <c r="L35" s="17" t="s">
        <v>443</v>
      </c>
    </row>
    <row r="36" spans="1:12" ht="25.5" x14ac:dyDescent="0.25">
      <c r="A36" s="12" t="s">
        <v>313</v>
      </c>
      <c r="B36" s="12" t="s">
        <v>449</v>
      </c>
      <c r="C36" s="13" t="s">
        <v>450</v>
      </c>
      <c r="D36" s="13" t="s">
        <v>451</v>
      </c>
      <c r="E36" s="13" t="s">
        <v>452</v>
      </c>
      <c r="F36" s="13" t="s">
        <v>453</v>
      </c>
      <c r="G36" s="13" t="s">
        <v>454</v>
      </c>
      <c r="H36" s="18" t="s">
        <v>319</v>
      </c>
      <c r="I36" s="13" t="s">
        <v>319</v>
      </c>
      <c r="J36" s="14" t="s">
        <v>298</v>
      </c>
      <c r="K36" s="16" t="s">
        <v>301</v>
      </c>
      <c r="L36" s="17" t="s">
        <v>309</v>
      </c>
    </row>
    <row r="37" spans="1:12" ht="38.25" x14ac:dyDescent="0.25">
      <c r="A37" s="12" t="s">
        <v>313</v>
      </c>
      <c r="B37" s="12" t="s">
        <v>449</v>
      </c>
      <c r="C37" s="13" t="s">
        <v>455</v>
      </c>
      <c r="D37" s="13" t="s">
        <v>456</v>
      </c>
      <c r="E37" s="13" t="s">
        <v>452</v>
      </c>
      <c r="F37" s="14" t="s">
        <v>298</v>
      </c>
      <c r="G37" s="14" t="s">
        <v>298</v>
      </c>
      <c r="H37" s="15" t="s">
        <v>298</v>
      </c>
      <c r="I37" s="13" t="s">
        <v>308</v>
      </c>
      <c r="J37" s="14" t="s">
        <v>298</v>
      </c>
      <c r="K37" s="16" t="s">
        <v>301</v>
      </c>
      <c r="L37" s="17" t="s">
        <v>457</v>
      </c>
    </row>
    <row r="38" spans="1:12" ht="63.75" x14ac:dyDescent="0.25">
      <c r="A38" s="12" t="s">
        <v>313</v>
      </c>
      <c r="B38" s="12" t="s">
        <v>449</v>
      </c>
      <c r="C38" s="13" t="s">
        <v>458</v>
      </c>
      <c r="D38" s="13" t="s">
        <v>459</v>
      </c>
      <c r="E38" s="13" t="s">
        <v>452</v>
      </c>
      <c r="F38" s="14" t="s">
        <v>298</v>
      </c>
      <c r="G38" s="14" t="s">
        <v>298</v>
      </c>
      <c r="H38" s="15" t="s">
        <v>298</v>
      </c>
      <c r="I38" s="13" t="s">
        <v>460</v>
      </c>
      <c r="J38" s="14" t="s">
        <v>298</v>
      </c>
      <c r="K38" s="16" t="s">
        <v>301</v>
      </c>
      <c r="L38" s="17" t="s">
        <v>457</v>
      </c>
    </row>
    <row r="39" spans="1:12" ht="38.25" x14ac:dyDescent="0.25">
      <c r="A39" s="12" t="s">
        <v>313</v>
      </c>
      <c r="B39" s="12" t="s">
        <v>449</v>
      </c>
      <c r="C39" s="13" t="s">
        <v>461</v>
      </c>
      <c r="D39" s="13" t="s">
        <v>462</v>
      </c>
      <c r="E39" s="13" t="s">
        <v>452</v>
      </c>
      <c r="F39" s="14" t="s">
        <v>298</v>
      </c>
      <c r="G39" s="14" t="s">
        <v>298</v>
      </c>
      <c r="H39" s="15" t="s">
        <v>298</v>
      </c>
      <c r="I39" s="13" t="s">
        <v>463</v>
      </c>
      <c r="J39" s="14" t="s">
        <v>298</v>
      </c>
      <c r="K39" s="16" t="s">
        <v>301</v>
      </c>
      <c r="L39" s="17" t="s">
        <v>457</v>
      </c>
    </row>
    <row r="40" spans="1:12" ht="38.25" x14ac:dyDescent="0.25">
      <c r="A40" s="12" t="s">
        <v>313</v>
      </c>
      <c r="B40" s="12" t="s">
        <v>449</v>
      </c>
      <c r="C40" s="13" t="s">
        <v>464</v>
      </c>
      <c r="D40" s="14" t="s">
        <v>298</v>
      </c>
      <c r="E40" s="13" t="s">
        <v>452</v>
      </c>
      <c r="F40" s="14" t="s">
        <v>298</v>
      </c>
      <c r="G40" s="14" t="s">
        <v>298</v>
      </c>
      <c r="H40" s="15" t="s">
        <v>298</v>
      </c>
      <c r="I40" s="14" t="s">
        <v>298</v>
      </c>
      <c r="J40" s="14" t="s">
        <v>298</v>
      </c>
      <c r="K40" s="16" t="s">
        <v>301</v>
      </c>
      <c r="L40" s="17" t="s">
        <v>457</v>
      </c>
    </row>
    <row r="41" spans="1:12" ht="25.5" x14ac:dyDescent="0.25">
      <c r="A41" s="12" t="s">
        <v>313</v>
      </c>
      <c r="B41" s="12" t="s">
        <v>243</v>
      </c>
      <c r="C41" s="13" t="s">
        <v>465</v>
      </c>
      <c r="D41" s="13" t="s">
        <v>466</v>
      </c>
      <c r="E41" s="13" t="s">
        <v>467</v>
      </c>
      <c r="F41" s="13" t="s">
        <v>468</v>
      </c>
      <c r="G41" s="13" t="s">
        <v>469</v>
      </c>
      <c r="H41" s="18" t="s">
        <v>308</v>
      </c>
      <c r="I41" s="13" t="s">
        <v>308</v>
      </c>
      <c r="J41" s="14" t="s">
        <v>298</v>
      </c>
      <c r="K41" s="16" t="s">
        <v>301</v>
      </c>
      <c r="L41" s="17" t="s">
        <v>321</v>
      </c>
    </row>
    <row r="42" spans="1:12" ht="25.5" x14ac:dyDescent="0.25">
      <c r="A42" s="12" t="s">
        <v>313</v>
      </c>
      <c r="B42" s="12" t="s">
        <v>470</v>
      </c>
      <c r="C42" s="13" t="s">
        <v>471</v>
      </c>
      <c r="D42" s="13" t="s">
        <v>472</v>
      </c>
      <c r="E42" s="13" t="s">
        <v>473</v>
      </c>
      <c r="F42" s="14" t="s">
        <v>298</v>
      </c>
      <c r="G42" s="13" t="s">
        <v>474</v>
      </c>
      <c r="H42" s="18" t="s">
        <v>319</v>
      </c>
      <c r="I42" s="13" t="s">
        <v>319</v>
      </c>
      <c r="J42" s="13" t="s">
        <v>475</v>
      </c>
      <c r="K42" s="16" t="s">
        <v>301</v>
      </c>
      <c r="L42" s="17" t="s">
        <v>409</v>
      </c>
    </row>
    <row r="43" spans="1:12" ht="25.5" x14ac:dyDescent="0.25">
      <c r="A43" s="12" t="s">
        <v>476</v>
      </c>
      <c r="B43" s="12" t="s">
        <v>477</v>
      </c>
      <c r="C43" s="13" t="s">
        <v>478</v>
      </c>
      <c r="D43" s="13" t="s">
        <v>479</v>
      </c>
      <c r="E43" s="13" t="s">
        <v>480</v>
      </c>
      <c r="F43" s="14" t="s">
        <v>481</v>
      </c>
      <c r="G43" s="13" t="s">
        <v>482</v>
      </c>
      <c r="H43" s="18" t="s">
        <v>415</v>
      </c>
      <c r="I43" s="13" t="s">
        <v>415</v>
      </c>
      <c r="J43" s="14" t="s">
        <v>298</v>
      </c>
      <c r="K43" s="16" t="s">
        <v>301</v>
      </c>
      <c r="L43" s="17" t="s">
        <v>483</v>
      </c>
    </row>
    <row r="44" spans="1:12" ht="25.5" x14ac:dyDescent="0.25">
      <c r="A44" s="12" t="s">
        <v>476</v>
      </c>
      <c r="B44" s="12" t="s">
        <v>477</v>
      </c>
      <c r="C44" s="13" t="s">
        <v>484</v>
      </c>
      <c r="D44" s="13" t="s">
        <v>485</v>
      </c>
      <c r="E44" s="13" t="s">
        <v>480</v>
      </c>
      <c r="F44" s="14" t="s">
        <v>481</v>
      </c>
      <c r="G44" s="13" t="s">
        <v>486</v>
      </c>
      <c r="H44" s="18" t="s">
        <v>319</v>
      </c>
      <c r="I44" s="13" t="s">
        <v>319</v>
      </c>
      <c r="J44" s="14" t="s">
        <v>298</v>
      </c>
      <c r="K44" s="16" t="s">
        <v>301</v>
      </c>
      <c r="L44" s="17" t="s">
        <v>487</v>
      </c>
    </row>
    <row r="45" spans="1:12" ht="25.5" x14ac:dyDescent="0.25">
      <c r="A45" s="12" t="s">
        <v>476</v>
      </c>
      <c r="B45" s="12" t="s">
        <v>477</v>
      </c>
      <c r="C45" s="13" t="s">
        <v>488</v>
      </c>
      <c r="D45" s="14" t="s">
        <v>298</v>
      </c>
      <c r="E45" s="13" t="s">
        <v>480</v>
      </c>
      <c r="F45" s="14" t="s">
        <v>481</v>
      </c>
      <c r="G45" s="13" t="s">
        <v>489</v>
      </c>
      <c r="H45" s="18" t="s">
        <v>326</v>
      </c>
      <c r="I45" s="13" t="s">
        <v>319</v>
      </c>
      <c r="J45" s="14" t="s">
        <v>298</v>
      </c>
      <c r="K45" s="16" t="s">
        <v>301</v>
      </c>
      <c r="L45" s="17" t="s">
        <v>483</v>
      </c>
    </row>
    <row r="46" spans="1:12" ht="89.25" x14ac:dyDescent="0.25">
      <c r="A46" s="12" t="s">
        <v>476</v>
      </c>
      <c r="B46" s="12" t="s">
        <v>477</v>
      </c>
      <c r="C46" s="13" t="s">
        <v>490</v>
      </c>
      <c r="D46" s="13" t="s">
        <v>491</v>
      </c>
      <c r="E46" s="13" t="s">
        <v>492</v>
      </c>
      <c r="F46" s="14" t="s">
        <v>481</v>
      </c>
      <c r="G46" s="13" t="s">
        <v>493</v>
      </c>
      <c r="H46" s="15" t="s">
        <v>298</v>
      </c>
      <c r="I46" s="13" t="s">
        <v>494</v>
      </c>
      <c r="J46" s="14" t="s">
        <v>298</v>
      </c>
      <c r="K46" s="16" t="s">
        <v>301</v>
      </c>
      <c r="L46" s="17" t="s">
        <v>495</v>
      </c>
    </row>
    <row r="47" spans="1:12" ht="38.25" x14ac:dyDescent="0.25">
      <c r="A47" s="12" t="s">
        <v>476</v>
      </c>
      <c r="B47" s="12" t="s">
        <v>496</v>
      </c>
      <c r="C47" s="13" t="s">
        <v>497</v>
      </c>
      <c r="D47" s="13" t="s">
        <v>498</v>
      </c>
      <c r="E47" s="13" t="s">
        <v>499</v>
      </c>
      <c r="F47" s="14" t="s">
        <v>481</v>
      </c>
      <c r="G47" s="13" t="s">
        <v>500</v>
      </c>
      <c r="H47" s="15" t="s">
        <v>298</v>
      </c>
      <c r="I47" s="13" t="s">
        <v>319</v>
      </c>
      <c r="J47" s="13" t="s">
        <v>415</v>
      </c>
      <c r="K47" s="16" t="s">
        <v>301</v>
      </c>
      <c r="L47" s="17" t="s">
        <v>501</v>
      </c>
    </row>
    <row r="48" spans="1:12" ht="38.25" x14ac:dyDescent="0.25">
      <c r="A48" s="12" t="s">
        <v>476</v>
      </c>
      <c r="B48" s="12" t="s">
        <v>496</v>
      </c>
      <c r="C48" s="13" t="s">
        <v>502</v>
      </c>
      <c r="D48" s="13" t="s">
        <v>503</v>
      </c>
      <c r="E48" s="13" t="s">
        <v>499</v>
      </c>
      <c r="F48" s="14" t="s">
        <v>481</v>
      </c>
      <c r="G48" s="13" t="s">
        <v>504</v>
      </c>
      <c r="H48" s="15" t="s">
        <v>298</v>
      </c>
      <c r="I48" s="13" t="s">
        <v>308</v>
      </c>
      <c r="J48" s="13" t="s">
        <v>415</v>
      </c>
      <c r="K48" s="16" t="s">
        <v>301</v>
      </c>
      <c r="L48" s="17" t="s">
        <v>505</v>
      </c>
    </row>
    <row r="49" spans="1:12" ht="38.25" x14ac:dyDescent="0.25">
      <c r="A49" s="12" t="s">
        <v>476</v>
      </c>
      <c r="B49" s="12" t="s">
        <v>496</v>
      </c>
      <c r="C49" s="13" t="s">
        <v>506</v>
      </c>
      <c r="D49" s="13" t="s">
        <v>507</v>
      </c>
      <c r="E49" s="13" t="s">
        <v>499</v>
      </c>
      <c r="F49" s="14" t="s">
        <v>481</v>
      </c>
      <c r="G49" s="13" t="s">
        <v>508</v>
      </c>
      <c r="H49" s="15" t="s">
        <v>298</v>
      </c>
      <c r="I49" s="13" t="s">
        <v>308</v>
      </c>
      <c r="J49" s="13" t="s">
        <v>415</v>
      </c>
      <c r="K49" s="16" t="s">
        <v>301</v>
      </c>
      <c r="L49" s="17" t="s">
        <v>509</v>
      </c>
    </row>
    <row r="50" spans="1:12" ht="38.25" x14ac:dyDescent="0.25">
      <c r="A50" s="12" t="s">
        <v>476</v>
      </c>
      <c r="B50" s="12" t="s">
        <v>496</v>
      </c>
      <c r="C50" s="13" t="s">
        <v>510</v>
      </c>
      <c r="D50" s="14" t="s">
        <v>298</v>
      </c>
      <c r="E50" s="13" t="s">
        <v>499</v>
      </c>
      <c r="F50" s="14" t="s">
        <v>481</v>
      </c>
      <c r="G50" s="13" t="s">
        <v>511</v>
      </c>
      <c r="H50" s="15" t="s">
        <v>298</v>
      </c>
      <c r="I50" s="13" t="s">
        <v>415</v>
      </c>
      <c r="J50" s="13" t="s">
        <v>415</v>
      </c>
      <c r="K50" s="16" t="s">
        <v>301</v>
      </c>
      <c r="L50" s="17" t="s">
        <v>512</v>
      </c>
    </row>
    <row r="51" spans="1:12" ht="25.5" x14ac:dyDescent="0.25">
      <c r="A51" s="12" t="s">
        <v>476</v>
      </c>
      <c r="B51" s="12" t="s">
        <v>513</v>
      </c>
      <c r="C51" s="13" t="s">
        <v>514</v>
      </c>
      <c r="D51" s="13" t="s">
        <v>515</v>
      </c>
      <c r="E51" s="13" t="s">
        <v>516</v>
      </c>
      <c r="F51" s="14" t="s">
        <v>481</v>
      </c>
      <c r="G51" s="13" t="s">
        <v>517</v>
      </c>
      <c r="H51" s="18" t="s">
        <v>415</v>
      </c>
      <c r="I51" s="13" t="s">
        <v>415</v>
      </c>
      <c r="J51" s="13" t="s">
        <v>415</v>
      </c>
      <c r="K51" s="16" t="s">
        <v>301</v>
      </c>
      <c r="L51" s="17" t="s">
        <v>352</v>
      </c>
    </row>
    <row r="52" spans="1:12" ht="25.5" x14ac:dyDescent="0.25">
      <c r="A52" s="12" t="s">
        <v>476</v>
      </c>
      <c r="B52" s="12" t="s">
        <v>513</v>
      </c>
      <c r="C52" s="13" t="s">
        <v>518</v>
      </c>
      <c r="D52" s="14" t="s">
        <v>298</v>
      </c>
      <c r="E52" s="13" t="s">
        <v>516</v>
      </c>
      <c r="F52" s="14" t="s">
        <v>481</v>
      </c>
      <c r="G52" s="13" t="s">
        <v>519</v>
      </c>
      <c r="H52" s="18" t="s">
        <v>319</v>
      </c>
      <c r="I52" s="13" t="s">
        <v>319</v>
      </c>
      <c r="J52" s="13" t="s">
        <v>415</v>
      </c>
      <c r="K52" s="16" t="s">
        <v>301</v>
      </c>
      <c r="L52" s="17" t="s">
        <v>487</v>
      </c>
    </row>
    <row r="53" spans="1:12" ht="25.5" x14ac:dyDescent="0.25">
      <c r="A53" s="12" t="s">
        <v>476</v>
      </c>
      <c r="B53" s="12" t="s">
        <v>513</v>
      </c>
      <c r="C53" s="13" t="s">
        <v>520</v>
      </c>
      <c r="D53" s="14" t="s">
        <v>298</v>
      </c>
      <c r="E53" s="13" t="s">
        <v>516</v>
      </c>
      <c r="F53" s="14" t="s">
        <v>481</v>
      </c>
      <c r="G53" s="13" t="s">
        <v>521</v>
      </c>
      <c r="H53" s="18" t="s">
        <v>319</v>
      </c>
      <c r="I53" s="13" t="s">
        <v>319</v>
      </c>
      <c r="J53" s="13" t="s">
        <v>415</v>
      </c>
      <c r="K53" s="16" t="s">
        <v>301</v>
      </c>
      <c r="L53" s="17" t="s">
        <v>406</v>
      </c>
    </row>
    <row r="54" spans="1:12" ht="25.5" x14ac:dyDescent="0.25">
      <c r="A54" s="12" t="s">
        <v>476</v>
      </c>
      <c r="B54" s="12" t="s">
        <v>513</v>
      </c>
      <c r="C54" s="13" t="s">
        <v>522</v>
      </c>
      <c r="D54" s="13" t="s">
        <v>523</v>
      </c>
      <c r="E54" s="13" t="s">
        <v>516</v>
      </c>
      <c r="F54" s="14" t="s">
        <v>481</v>
      </c>
      <c r="G54" s="13" t="s">
        <v>524</v>
      </c>
      <c r="H54" s="18" t="s">
        <v>326</v>
      </c>
      <c r="I54" s="13" t="s">
        <v>308</v>
      </c>
      <c r="J54" s="13" t="s">
        <v>319</v>
      </c>
      <c r="K54" s="16" t="s">
        <v>301</v>
      </c>
      <c r="L54" s="17" t="s">
        <v>525</v>
      </c>
    </row>
    <row r="55" spans="1:12" ht="25.5" x14ac:dyDescent="0.25">
      <c r="A55" s="12" t="s">
        <v>476</v>
      </c>
      <c r="B55" s="12" t="s">
        <v>526</v>
      </c>
      <c r="C55" s="13" t="s">
        <v>527</v>
      </c>
      <c r="D55" s="13" t="s">
        <v>528</v>
      </c>
      <c r="E55" s="13" t="s">
        <v>529</v>
      </c>
      <c r="F55" s="14" t="s">
        <v>481</v>
      </c>
      <c r="G55" s="13" t="s">
        <v>530</v>
      </c>
      <c r="H55" s="18" t="s">
        <v>319</v>
      </c>
      <c r="I55" s="13" t="s">
        <v>319</v>
      </c>
      <c r="J55" s="13" t="s">
        <v>531</v>
      </c>
      <c r="K55" s="16" t="s">
        <v>301</v>
      </c>
      <c r="L55" s="17" t="s">
        <v>532</v>
      </c>
    </row>
    <row r="56" spans="1:12" ht="25.5" x14ac:dyDescent="0.25">
      <c r="A56" s="12" t="s">
        <v>476</v>
      </c>
      <c r="B56" s="12" t="s">
        <v>526</v>
      </c>
      <c r="C56" s="13" t="s">
        <v>533</v>
      </c>
      <c r="D56" s="13" t="s">
        <v>534</v>
      </c>
      <c r="E56" s="13" t="s">
        <v>529</v>
      </c>
      <c r="F56" s="14" t="s">
        <v>481</v>
      </c>
      <c r="G56" s="14" t="s">
        <v>298</v>
      </c>
      <c r="H56" s="18" t="s">
        <v>319</v>
      </c>
      <c r="I56" s="13" t="s">
        <v>319</v>
      </c>
      <c r="J56" s="13" t="s">
        <v>531</v>
      </c>
      <c r="K56" s="16" t="s">
        <v>301</v>
      </c>
      <c r="L56" s="17" t="s">
        <v>532</v>
      </c>
    </row>
    <row r="57" spans="1:12" ht="25.5" x14ac:dyDescent="0.25">
      <c r="A57" s="12" t="s">
        <v>476</v>
      </c>
      <c r="B57" s="12" t="s">
        <v>526</v>
      </c>
      <c r="C57" s="13" t="s">
        <v>535</v>
      </c>
      <c r="D57" s="13" t="s">
        <v>536</v>
      </c>
      <c r="E57" s="13" t="s">
        <v>537</v>
      </c>
      <c r="F57" s="14" t="s">
        <v>481</v>
      </c>
      <c r="G57" s="14" t="s">
        <v>298</v>
      </c>
      <c r="H57" s="18" t="s">
        <v>319</v>
      </c>
      <c r="I57" s="13" t="s">
        <v>319</v>
      </c>
      <c r="J57" s="13" t="s">
        <v>531</v>
      </c>
      <c r="K57" s="16" t="s">
        <v>301</v>
      </c>
      <c r="L57" s="17" t="s">
        <v>321</v>
      </c>
    </row>
    <row r="58" spans="1:12" ht="25.5" x14ac:dyDescent="0.25">
      <c r="A58" s="12" t="s">
        <v>476</v>
      </c>
      <c r="B58" s="12" t="s">
        <v>538</v>
      </c>
      <c r="C58" s="13" t="s">
        <v>539</v>
      </c>
      <c r="D58" s="13" t="s">
        <v>540</v>
      </c>
      <c r="E58" s="13" t="s">
        <v>541</v>
      </c>
      <c r="F58" s="14" t="s">
        <v>481</v>
      </c>
      <c r="G58" s="13" t="s">
        <v>542</v>
      </c>
      <c r="H58" s="18" t="s">
        <v>319</v>
      </c>
      <c r="I58" s="13" t="s">
        <v>319</v>
      </c>
      <c r="J58" s="13" t="s">
        <v>415</v>
      </c>
      <c r="K58" s="16" t="s">
        <v>301</v>
      </c>
      <c r="L58" s="17" t="s">
        <v>505</v>
      </c>
    </row>
    <row r="59" spans="1:12" ht="25.5" x14ac:dyDescent="0.25">
      <c r="A59" s="12" t="s">
        <v>476</v>
      </c>
      <c r="B59" s="12" t="s">
        <v>538</v>
      </c>
      <c r="C59" s="13" t="s">
        <v>543</v>
      </c>
      <c r="D59" s="13" t="s">
        <v>544</v>
      </c>
      <c r="E59" s="13" t="s">
        <v>541</v>
      </c>
      <c r="F59" s="14" t="s">
        <v>481</v>
      </c>
      <c r="G59" s="13" t="s">
        <v>545</v>
      </c>
      <c r="H59" s="18" t="s">
        <v>326</v>
      </c>
      <c r="I59" s="13" t="s">
        <v>319</v>
      </c>
      <c r="J59" s="13" t="s">
        <v>415</v>
      </c>
      <c r="K59" s="16" t="s">
        <v>301</v>
      </c>
      <c r="L59" s="17" t="s">
        <v>505</v>
      </c>
    </row>
    <row r="60" spans="1:12" ht="25.5" x14ac:dyDescent="0.25">
      <c r="A60" s="12" t="s">
        <v>476</v>
      </c>
      <c r="B60" s="12" t="s">
        <v>538</v>
      </c>
      <c r="C60" s="13" t="s">
        <v>546</v>
      </c>
      <c r="D60" s="13" t="s">
        <v>547</v>
      </c>
      <c r="E60" s="13" t="s">
        <v>541</v>
      </c>
      <c r="F60" s="14" t="s">
        <v>481</v>
      </c>
      <c r="G60" s="13" t="s">
        <v>548</v>
      </c>
      <c r="H60" s="18" t="s">
        <v>319</v>
      </c>
      <c r="I60" s="13" t="s">
        <v>319</v>
      </c>
      <c r="J60" s="13" t="s">
        <v>415</v>
      </c>
      <c r="K60" s="16" t="s">
        <v>301</v>
      </c>
      <c r="L60" s="17" t="s">
        <v>505</v>
      </c>
    </row>
    <row r="61" spans="1:12" ht="25.5" x14ac:dyDescent="0.25">
      <c r="A61" s="12" t="s">
        <v>476</v>
      </c>
      <c r="B61" s="12" t="s">
        <v>538</v>
      </c>
      <c r="C61" s="13" t="s">
        <v>549</v>
      </c>
      <c r="D61" s="13" t="s">
        <v>550</v>
      </c>
      <c r="E61" s="13" t="s">
        <v>541</v>
      </c>
      <c r="F61" s="14" t="s">
        <v>481</v>
      </c>
      <c r="G61" s="13" t="s">
        <v>551</v>
      </c>
      <c r="H61" s="18" t="s">
        <v>319</v>
      </c>
      <c r="I61" s="13" t="s">
        <v>319</v>
      </c>
      <c r="J61" s="13" t="s">
        <v>415</v>
      </c>
      <c r="K61" s="16" t="s">
        <v>301</v>
      </c>
      <c r="L61" s="17" t="s">
        <v>505</v>
      </c>
    </row>
    <row r="62" spans="1:12" ht="25.5" x14ac:dyDescent="0.25">
      <c r="A62" s="12" t="s">
        <v>476</v>
      </c>
      <c r="B62" s="12" t="s">
        <v>552</v>
      </c>
      <c r="C62" s="13" t="s">
        <v>553</v>
      </c>
      <c r="D62" s="13" t="s">
        <v>554</v>
      </c>
      <c r="E62" s="13" t="s">
        <v>555</v>
      </c>
      <c r="F62" s="14" t="s">
        <v>481</v>
      </c>
      <c r="G62" s="14" t="s">
        <v>298</v>
      </c>
      <c r="H62" s="18" t="s">
        <v>319</v>
      </c>
      <c r="I62" s="13" t="s">
        <v>319</v>
      </c>
      <c r="J62" s="13" t="s">
        <v>415</v>
      </c>
      <c r="K62" s="16" t="s">
        <v>301</v>
      </c>
      <c r="L62" s="17" t="s">
        <v>505</v>
      </c>
    </row>
    <row r="63" spans="1:12" ht="25.5" x14ac:dyDescent="0.25">
      <c r="A63" s="12" t="s">
        <v>476</v>
      </c>
      <c r="B63" s="12" t="s">
        <v>556</v>
      </c>
      <c r="C63" s="13" t="s">
        <v>557</v>
      </c>
      <c r="D63" s="14" t="s">
        <v>298</v>
      </c>
      <c r="E63" s="13" t="s">
        <v>558</v>
      </c>
      <c r="F63" s="14" t="s">
        <v>481</v>
      </c>
      <c r="G63" s="13" t="s">
        <v>559</v>
      </c>
      <c r="H63" s="18" t="s">
        <v>319</v>
      </c>
      <c r="I63" s="13" t="s">
        <v>319</v>
      </c>
      <c r="J63" s="13" t="s">
        <v>415</v>
      </c>
      <c r="K63" s="16" t="s">
        <v>301</v>
      </c>
      <c r="L63" s="17" t="s">
        <v>352</v>
      </c>
    </row>
    <row r="64" spans="1:12" ht="38.25" x14ac:dyDescent="0.25">
      <c r="A64" s="12" t="s">
        <v>476</v>
      </c>
      <c r="B64" s="12" t="s">
        <v>556</v>
      </c>
      <c r="C64" s="13" t="s">
        <v>560</v>
      </c>
      <c r="D64" s="14" t="s">
        <v>298</v>
      </c>
      <c r="E64" s="13" t="s">
        <v>558</v>
      </c>
      <c r="F64" s="14" t="s">
        <v>481</v>
      </c>
      <c r="G64" s="14" t="s">
        <v>298</v>
      </c>
      <c r="H64" s="15" t="s">
        <v>298</v>
      </c>
      <c r="I64" s="14" t="s">
        <v>298</v>
      </c>
      <c r="J64" s="13" t="s">
        <v>561</v>
      </c>
      <c r="K64" s="16" t="s">
        <v>301</v>
      </c>
      <c r="L64" s="17" t="s">
        <v>352</v>
      </c>
    </row>
    <row r="65" spans="1:12" ht="38.25" x14ac:dyDescent="0.25">
      <c r="A65" s="12" t="s">
        <v>476</v>
      </c>
      <c r="B65" s="12" t="s">
        <v>562</v>
      </c>
      <c r="C65" s="13" t="s">
        <v>563</v>
      </c>
      <c r="D65" s="13" t="s">
        <v>564</v>
      </c>
      <c r="E65" s="13" t="s">
        <v>565</v>
      </c>
      <c r="F65" s="14" t="s">
        <v>481</v>
      </c>
      <c r="G65" s="13" t="s">
        <v>566</v>
      </c>
      <c r="H65" s="18" t="s">
        <v>319</v>
      </c>
      <c r="I65" s="13" t="s">
        <v>319</v>
      </c>
      <c r="J65" s="13" t="s">
        <v>415</v>
      </c>
      <c r="K65" s="16" t="s">
        <v>301</v>
      </c>
      <c r="L65" s="17" t="s">
        <v>567</v>
      </c>
    </row>
    <row r="66" spans="1:12" ht="25.5" x14ac:dyDescent="0.25">
      <c r="A66" s="12" t="s">
        <v>476</v>
      </c>
      <c r="B66" s="12" t="s">
        <v>562</v>
      </c>
      <c r="C66" s="13" t="s">
        <v>568</v>
      </c>
      <c r="D66" s="13" t="s">
        <v>569</v>
      </c>
      <c r="E66" s="13" t="s">
        <v>570</v>
      </c>
      <c r="F66" s="14" t="s">
        <v>481</v>
      </c>
      <c r="G66" s="13" t="s">
        <v>571</v>
      </c>
      <c r="H66" s="18" t="s">
        <v>319</v>
      </c>
      <c r="I66" s="13" t="s">
        <v>319</v>
      </c>
      <c r="J66" s="13" t="s">
        <v>415</v>
      </c>
      <c r="K66" s="16" t="s">
        <v>301</v>
      </c>
      <c r="L66" s="17" t="s">
        <v>572</v>
      </c>
    </row>
    <row r="67" spans="1:12" ht="25.5" x14ac:dyDescent="0.25">
      <c r="A67" s="12" t="s">
        <v>476</v>
      </c>
      <c r="B67" s="12" t="s">
        <v>562</v>
      </c>
      <c r="C67" s="13" t="s">
        <v>557</v>
      </c>
      <c r="D67" s="13" t="s">
        <v>573</v>
      </c>
      <c r="E67" s="13" t="s">
        <v>570</v>
      </c>
      <c r="F67" s="14" t="s">
        <v>481</v>
      </c>
      <c r="G67" s="13" t="s">
        <v>442</v>
      </c>
      <c r="H67" s="18" t="s">
        <v>308</v>
      </c>
      <c r="I67" s="13" t="s">
        <v>308</v>
      </c>
      <c r="J67" s="13" t="s">
        <v>415</v>
      </c>
      <c r="K67" s="16" t="s">
        <v>301</v>
      </c>
      <c r="L67" s="17" t="s">
        <v>574</v>
      </c>
    </row>
    <row r="68" spans="1:12" ht="63.75" x14ac:dyDescent="0.25">
      <c r="A68" s="12" t="s">
        <v>575</v>
      </c>
      <c r="B68" s="12" t="s">
        <v>576</v>
      </c>
      <c r="C68" s="13" t="s">
        <v>577</v>
      </c>
      <c r="D68" s="13" t="s">
        <v>578</v>
      </c>
      <c r="E68" s="13" t="s">
        <v>579</v>
      </c>
      <c r="F68" s="14" t="s">
        <v>298</v>
      </c>
      <c r="G68" s="13" t="s">
        <v>580</v>
      </c>
      <c r="H68" s="18" t="s">
        <v>415</v>
      </c>
      <c r="I68" s="13" t="s">
        <v>319</v>
      </c>
      <c r="J68" s="14" t="s">
        <v>298</v>
      </c>
      <c r="K68" s="16" t="s">
        <v>301</v>
      </c>
      <c r="L68" s="17" t="s">
        <v>581</v>
      </c>
    </row>
  </sheetData>
  <mergeCells count="2">
    <mergeCell ref="A1:L1"/>
    <mergeCell ref="A2:L2"/>
  </mergeCells>
  <hyperlinks>
    <hyperlink ref="K5" r:id="rId1" xr:uid="{CFD1DD1B-884B-40BD-B54B-03DF0609CE99}"/>
    <hyperlink ref="L5" r:id="rId2" xr:uid="{1A656815-6B8C-421F-B1EF-217A1713E37A}"/>
    <hyperlink ref="K6" r:id="rId3" xr:uid="{E33A7FFB-0801-4367-8ECB-27B87B3066CE}"/>
    <hyperlink ref="L6" r:id="rId4" xr:uid="{C58F2CB5-88ED-48E8-B1BA-DBFDA8816CB9}"/>
    <hyperlink ref="K7" r:id="rId5" xr:uid="{CF88D79A-940A-4341-849E-E4535701A25F}"/>
    <hyperlink ref="L7" r:id="rId6" xr:uid="{15AADE2E-06D1-4D1C-9D90-FDC1016B358E}"/>
    <hyperlink ref="K8" r:id="rId7" xr:uid="{B62D1047-7BED-4D5A-B950-D70D4DDEB06B}"/>
    <hyperlink ref="L8" r:id="rId8" xr:uid="{880A56D8-7813-4ED9-94AB-B3230690CFC5}"/>
    <hyperlink ref="K9" r:id="rId9" xr:uid="{5BC9C742-CC55-46CA-BE6A-8205780C519E}"/>
    <hyperlink ref="L9" r:id="rId10" xr:uid="{A4F9B045-5EED-47C4-988E-B060E6E0591E}"/>
    <hyperlink ref="K10" r:id="rId11" xr:uid="{83C246E1-C09F-45D9-9CCD-3726F9B66FEA}"/>
    <hyperlink ref="L10" r:id="rId12" xr:uid="{E40C504B-9921-4E6B-ACF5-7A913238A3E3}"/>
    <hyperlink ref="K11" r:id="rId13" xr:uid="{84B0F449-2E6D-4244-B206-9D1A943E3A2B}"/>
    <hyperlink ref="L11" r:id="rId14" xr:uid="{8F1D2233-F272-4C93-9718-0617E08A5602}"/>
    <hyperlink ref="K12" r:id="rId15" xr:uid="{ED1D73EA-7F22-48E4-AE11-877F2E0521ED}"/>
    <hyperlink ref="L12" r:id="rId16" xr:uid="{30CF42F7-A461-4838-B669-86662996EF17}"/>
    <hyperlink ref="K13" r:id="rId17" xr:uid="{7730DBD3-1802-4463-85B0-0502C8C7F04E}"/>
    <hyperlink ref="L13" r:id="rId18" xr:uid="{B6AC35DB-CE54-486C-822F-88A9615997F9}"/>
    <hyperlink ref="K14" r:id="rId19" xr:uid="{B830F598-FC60-4289-9C28-95626B4DFFB8}"/>
    <hyperlink ref="L14" r:id="rId20" xr:uid="{7D9333C5-7752-4147-A175-9A7081A537C6}"/>
    <hyperlink ref="K15" r:id="rId21" xr:uid="{3FEB4CE7-8B88-4F56-AC2D-5CB6AECC028E}"/>
    <hyperlink ref="L15" r:id="rId22" xr:uid="{6DE7D873-3B9C-4525-8859-F61F601368C9}"/>
    <hyperlink ref="K16" r:id="rId23" xr:uid="{43836271-9413-4360-BC65-34EC88B11749}"/>
    <hyperlink ref="L16" r:id="rId24" xr:uid="{C5B1CA09-C6E2-4EC6-9E25-25AB494CF24E}"/>
    <hyperlink ref="K17" r:id="rId25" xr:uid="{7FC98C2B-ED5E-47E2-B93A-E3155D9F6B81}"/>
    <hyperlink ref="L17" r:id="rId26" xr:uid="{845FED0C-1C84-41B6-83E2-FC826944D0BD}"/>
    <hyperlink ref="K18" r:id="rId27" xr:uid="{DD4EF9BB-52F6-40B9-9B1E-70979B638B20}"/>
    <hyperlink ref="L18" r:id="rId28" xr:uid="{03E382F7-9172-4F08-9E38-B7750C2C6912}"/>
    <hyperlink ref="K19" r:id="rId29" xr:uid="{9EEDEF39-1629-4B9E-ABB1-7F12AB7F3A89}"/>
    <hyperlink ref="L19" r:id="rId30" xr:uid="{C8E65280-E910-474F-BC91-A5C0131D7867}"/>
    <hyperlink ref="K20" r:id="rId31" xr:uid="{3ACC80F2-F5E0-408D-B686-770F664506BE}"/>
    <hyperlink ref="L20" r:id="rId32" xr:uid="{8B9D0C4B-ADA1-4991-8D1C-3D446CFE1FE5}"/>
    <hyperlink ref="K21" r:id="rId33" xr:uid="{EA1CB156-8D6C-46B4-A9BB-8042F588BFD4}"/>
    <hyperlink ref="L21" r:id="rId34" xr:uid="{30FDA3FB-D9DB-453F-82E6-CE15FF8B2DB1}"/>
    <hyperlink ref="K22" r:id="rId35" xr:uid="{F1FB4314-AD13-4B3F-AC37-B94AE57D8474}"/>
    <hyperlink ref="L22" r:id="rId36" xr:uid="{B7EB7E3A-C7FD-4B9D-AC06-5E4C4DABFDD2}"/>
    <hyperlink ref="K23" r:id="rId37" xr:uid="{7E1064C4-6193-47CD-A209-F640179EA027}"/>
    <hyperlink ref="L23" r:id="rId38" xr:uid="{0B4C373A-97F5-4887-86BD-479AD623264E}"/>
    <hyperlink ref="K24" r:id="rId39" xr:uid="{DF5CB5E2-CE9A-40E7-972C-CCD668667AA7}"/>
    <hyperlink ref="L24" r:id="rId40" xr:uid="{12010895-5F75-4375-B859-818261DE8B35}"/>
    <hyperlink ref="K25" r:id="rId41" xr:uid="{6C611473-D760-4B86-BEBE-794BA6D56F41}"/>
    <hyperlink ref="L25" r:id="rId42" xr:uid="{853589D3-1905-403A-BA1B-A61612C0DB97}"/>
    <hyperlink ref="K26" r:id="rId43" xr:uid="{35B75D9F-C637-4AC3-A0E7-4484044C256E}"/>
    <hyperlink ref="L26" r:id="rId44" xr:uid="{64B20EE0-8975-4CF3-A3B6-945AB18B96D1}"/>
    <hyperlink ref="K27" r:id="rId45" xr:uid="{672DB57C-DA9E-44B0-A4BB-D62E3553F9A2}"/>
    <hyperlink ref="L27" r:id="rId46" xr:uid="{AE06C2E3-DD52-4EDC-BD3B-250973FD8C8B}"/>
    <hyperlink ref="K28" r:id="rId47" xr:uid="{345849FC-C32C-4B0B-8C02-93CCD487C3FF}"/>
    <hyperlink ref="L28" r:id="rId48" xr:uid="{74E34758-C575-44DD-A04F-094D01E01DF0}"/>
    <hyperlink ref="K29" r:id="rId49" xr:uid="{B364DEB5-38E0-41C6-A9D8-9EF5324EE0C2}"/>
    <hyperlink ref="L29" r:id="rId50" xr:uid="{2E84E887-78BF-4F91-BF68-2FF307A0B11F}"/>
    <hyperlink ref="K30" r:id="rId51" xr:uid="{E7F2E7C1-E28D-4F6F-B319-7FFD45CC8564}"/>
    <hyperlink ref="L30" r:id="rId52" xr:uid="{8290AF6E-6161-41D2-BDBC-65B0DED551D9}"/>
    <hyperlink ref="K31" r:id="rId53" xr:uid="{CB5CDB79-EF82-4717-B8B6-85A08BCEECA1}"/>
    <hyperlink ref="L31" r:id="rId54" xr:uid="{FF0EA9BA-7129-4149-AD68-02196F1FCF2E}"/>
    <hyperlink ref="K32" r:id="rId55" xr:uid="{09C09C03-0DC3-453D-9B25-B96A914794D4}"/>
    <hyperlink ref="L32" r:id="rId56" xr:uid="{A2038ED2-95A2-4788-82C3-8E593F60C22D}"/>
    <hyperlink ref="K33" r:id="rId57" xr:uid="{4CDE133D-883F-4170-805C-DAE94A310418}"/>
    <hyperlink ref="L33" r:id="rId58" xr:uid="{878584F4-2BB5-425F-882E-851E0DC02E4E}"/>
    <hyperlink ref="K34" r:id="rId59" xr:uid="{40315579-6159-4D4C-95FE-80658D93AC59}"/>
    <hyperlink ref="L34" r:id="rId60" xr:uid="{6219AB8B-A700-42D6-B978-F07567E7CFDD}"/>
    <hyperlink ref="K35" r:id="rId61" xr:uid="{F8660384-44D4-489B-B52A-60F913D0B8B1}"/>
    <hyperlink ref="L35" r:id="rId62" xr:uid="{3FEB7099-B508-4E0F-9853-DC635F72D5CE}"/>
    <hyperlink ref="K36" r:id="rId63" xr:uid="{22CBCB62-BFCC-4437-8A28-502BD4386EF8}"/>
    <hyperlink ref="L36" r:id="rId64" xr:uid="{A034E180-9DF5-45A5-BCFC-9CB38FF1D685}"/>
    <hyperlink ref="K37" r:id="rId65" xr:uid="{E0B5DB15-0D45-458A-8728-10402C834DA7}"/>
    <hyperlink ref="L37" r:id="rId66" xr:uid="{4B74F348-2F31-41C9-BA1F-B4644D010732}"/>
    <hyperlink ref="K38" r:id="rId67" xr:uid="{3D60FE8B-BB1F-4BB8-A5DC-B944826C5EBB}"/>
    <hyperlink ref="L38" r:id="rId68" xr:uid="{ED579882-7CE0-4614-AC66-EA222C9D9C2C}"/>
    <hyperlink ref="K39" r:id="rId69" xr:uid="{271405A8-39CE-48C8-B5E9-461B72BA4808}"/>
    <hyperlink ref="L39" r:id="rId70" xr:uid="{D5FD901E-009A-47E9-B13C-22FC1651138C}"/>
    <hyperlink ref="K40" r:id="rId71" xr:uid="{BD964EB2-6F62-4CEC-8402-AD29C11E3AD7}"/>
    <hyperlink ref="L40" r:id="rId72" xr:uid="{F81EA263-B932-4E12-97A1-7AB3C47C2B84}"/>
    <hyperlink ref="K41" r:id="rId73" xr:uid="{372040BD-7B82-45FA-8172-4167C01DBBB8}"/>
    <hyperlink ref="L41" r:id="rId74" xr:uid="{9D3E56EE-6A68-4630-B821-11524AACADD7}"/>
    <hyperlink ref="K42" r:id="rId75" xr:uid="{99148B58-5C18-4470-8C13-D90BB31E02A7}"/>
    <hyperlink ref="L42" r:id="rId76" xr:uid="{3D5F25EF-1F58-4783-B201-8EFBF18EB1B0}"/>
    <hyperlink ref="K43" r:id="rId77" xr:uid="{DCD22E7A-AA2B-4485-A691-7976E16A0D85}"/>
    <hyperlink ref="L43" r:id="rId78" xr:uid="{1EE2349D-9C2E-4749-8A09-AA21FE55FBF6}"/>
    <hyperlink ref="K44" r:id="rId79" xr:uid="{40C2C550-D51E-4D32-AC5D-5F0C0C687B72}"/>
    <hyperlink ref="L44" r:id="rId80" xr:uid="{CDC28CBD-0E42-474E-B44B-BF483ED67DC2}"/>
    <hyperlink ref="K45" r:id="rId81" xr:uid="{C8BE41D9-90ED-48D5-9996-8483B227AE7E}"/>
    <hyperlink ref="L45" r:id="rId82" xr:uid="{64CB9C6D-2578-4821-A503-80F7FC271F39}"/>
    <hyperlink ref="K46" r:id="rId83" xr:uid="{6B37EC80-F830-4420-B6C7-9CFD5B6CC057}"/>
    <hyperlink ref="L46" r:id="rId84" xr:uid="{69FDDAC4-DC92-4911-B6F4-8E3C0311E87F}"/>
    <hyperlink ref="K47" r:id="rId85" xr:uid="{7EA93714-217A-482D-A0ED-E99753996D2B}"/>
    <hyperlink ref="L47" r:id="rId86" xr:uid="{F3EB129C-7BEF-4800-9781-FBB881C8527E}"/>
    <hyperlink ref="K48" r:id="rId87" xr:uid="{955B672A-E00B-4E47-A454-ACD2F78C5A35}"/>
    <hyperlink ref="L48" r:id="rId88" xr:uid="{AA7E1EEF-1CD5-4EF5-B4AF-B0FF91086F84}"/>
    <hyperlink ref="K49" r:id="rId89" xr:uid="{C6FFEFA9-0322-4D72-885C-CF000388C6D2}"/>
    <hyperlink ref="L49" r:id="rId90" xr:uid="{5E9E6D9D-5572-4F21-9F3D-5AD709776259}"/>
    <hyperlink ref="K50" r:id="rId91" xr:uid="{4101324D-51C5-4E08-A308-650F529AB0B3}"/>
    <hyperlink ref="L50" r:id="rId92" xr:uid="{BB12D16A-288A-4E8D-AE62-0790E3B7B821}"/>
    <hyperlink ref="K51" r:id="rId93" xr:uid="{9ACBC60A-5287-47D1-95C9-029D500EF084}"/>
    <hyperlink ref="L51" r:id="rId94" xr:uid="{7AAAD290-CE85-4C53-A136-9548294613F2}"/>
    <hyperlink ref="K52" r:id="rId95" xr:uid="{01614361-6B56-43AF-8E22-A16B9512D78C}"/>
    <hyperlink ref="L52" r:id="rId96" xr:uid="{646E454E-C442-4240-998E-53AA037EF6A4}"/>
    <hyperlink ref="K53" r:id="rId97" xr:uid="{4EFD79B1-73D1-4BA6-A187-3D29E3EB7E50}"/>
    <hyperlink ref="L53" r:id="rId98" xr:uid="{5D013632-5DB4-4B3F-BCAF-ADFD623AADD1}"/>
    <hyperlink ref="K54" r:id="rId99" xr:uid="{20913375-4560-43A6-B330-2DCC5B306D32}"/>
    <hyperlink ref="L54" r:id="rId100" xr:uid="{05E565C8-0A4D-4C71-AA30-4DA1D3CCEDE4}"/>
    <hyperlink ref="K55" r:id="rId101" xr:uid="{3816F88D-8A46-4452-9EEB-A77EE2551451}"/>
    <hyperlink ref="L55" r:id="rId102" xr:uid="{438F7334-F146-4317-9B59-2317E92AFCCA}"/>
    <hyperlink ref="K56" r:id="rId103" xr:uid="{04FC723B-E18A-4351-8AB2-7DD3B1AD99A6}"/>
    <hyperlink ref="L56" r:id="rId104" xr:uid="{5A8A2328-8FB8-49E8-838A-4E34E42C8E65}"/>
    <hyperlink ref="K57" r:id="rId105" xr:uid="{6F504530-685F-44D7-B8B0-98B87A2CF79B}"/>
    <hyperlink ref="L57" r:id="rId106" xr:uid="{16283459-BF89-4C12-83CF-1A85A56AABF8}"/>
    <hyperlink ref="K58" r:id="rId107" xr:uid="{6361F3C6-A23B-4A21-8824-16E6A63C536B}"/>
    <hyperlink ref="L58" r:id="rId108" xr:uid="{A4122003-D4EB-4517-B2FA-2B1FEB7B42DD}"/>
    <hyperlink ref="K59" r:id="rId109" xr:uid="{94B6AE6C-607C-4321-8CB2-4BC557FAD082}"/>
    <hyperlink ref="L59" r:id="rId110" xr:uid="{F57B9BAB-105B-4373-BCAC-952D44747339}"/>
    <hyperlink ref="K60" r:id="rId111" xr:uid="{ABDF0A62-737B-4E2A-B63E-3765C7A4E99F}"/>
    <hyperlink ref="L60" r:id="rId112" xr:uid="{D8FAD234-872D-447F-A9F1-9704C5F6F724}"/>
    <hyperlink ref="K61" r:id="rId113" xr:uid="{AC9C70B0-F8DD-406B-A408-A50C40B0AC82}"/>
    <hyperlink ref="L61" r:id="rId114" xr:uid="{DDCE89F6-6E3B-4F0B-AB3F-1430EC489668}"/>
    <hyperlink ref="K62" r:id="rId115" xr:uid="{00A98085-AC6C-45CB-AF2C-29E690271118}"/>
    <hyperlink ref="L62" r:id="rId116" xr:uid="{1EC2ECBD-FC8D-4C02-BED0-30EC56074154}"/>
    <hyperlink ref="K63" r:id="rId117" xr:uid="{93A6E351-E347-4C9F-BAEB-543CCF70E540}"/>
    <hyperlink ref="L63" r:id="rId118" xr:uid="{F1D72214-5A19-4A02-84A7-3D1BE636EC23}"/>
    <hyperlink ref="K64" r:id="rId119" xr:uid="{A3182BBA-20AD-4989-A0B1-38689FBADC2C}"/>
    <hyperlink ref="L64" r:id="rId120" xr:uid="{AEF98270-4050-4DF1-B008-58C6D73AE3FF}"/>
    <hyperlink ref="K65" r:id="rId121" xr:uid="{03F81F9F-2569-406B-8273-9ED34FFA134F}"/>
    <hyperlink ref="L65" r:id="rId122" xr:uid="{4D84AFCF-A4E5-42EE-B8BB-8611288907DA}"/>
    <hyperlink ref="K66" r:id="rId123" xr:uid="{86224AF8-C32F-485F-815E-3A78BB586CA1}"/>
    <hyperlink ref="L66" r:id="rId124" xr:uid="{EEAE2B05-CBB2-4C7B-BC1A-846467A81F41}"/>
    <hyperlink ref="K67" r:id="rId125" xr:uid="{73FBBCCE-0DD9-47A7-B5B4-BC6E020F06E5}"/>
    <hyperlink ref="L67" r:id="rId126" xr:uid="{07713F10-1C46-4157-98CD-C35C719EDF0D}"/>
    <hyperlink ref="K68" r:id="rId127" xr:uid="{F3C65C69-3A13-4454-B766-F13E8928587B}"/>
    <hyperlink ref="L68" r:id="rId128" xr:uid="{3439DC43-D106-4F9B-9C7D-6A6F366CBC3C}"/>
  </hyperlinks>
  <pageMargins left="0.7" right="0.7" top="0.75" bottom="0.75" header="0.3" footer="0.3"/>
  <tableParts count="1">
    <tablePart r:id="rId1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Viviendas La Paz</vt:lpstr>
      <vt:lpstr>Viviendas en Desarrollo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2026-08-11T00:06:35Z</dcterms:created>
  <dcterms:modified xsi:type="dcterms:W3CDTF">2026-08-11T16:40:00Z</dcterms:modified>
  <cp:category/>
</cp:coreProperties>
</file>